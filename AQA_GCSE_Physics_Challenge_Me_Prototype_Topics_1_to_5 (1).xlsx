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f42b2b766ca43f9" /></Relationships>
</file>

<file path=xl/workbook.xml><?xml version="1.0" encoding="utf-8"?>
<x:workbook xmlns:x="http://schemas.openxmlformats.org/spreadsheetml/2006/main">
  <x:sheets>
    <x:sheet xmlns:r="http://schemas.openxmlformats.org/officeDocument/2006/relationships" name="Read Me" sheetId="1" r:id="R57dab22ec0f844de"/>
    <x:sheet xmlns:r="http://schemas.openxmlformats.org/officeDocument/2006/relationships" name="Challenges" sheetId="2" r:id="R745b9467d0e0414b"/>
    <x:sheet xmlns:r="http://schemas.openxmlformats.org/officeDocument/2006/relationships" name="Scaffold Stages" sheetId="3" r:id="Rdb482c31a0a14771"/>
    <x:sheet xmlns:r="http://schemas.openxmlformats.org/officeDocument/2006/relationships" name="Connection Map" sheetId="4" r:id="R67ef63afdf8b4d9a"/>
    <x:sheet xmlns:r="http://schemas.openxmlformats.org/officeDocument/2006/relationships" name="Scoring Rubric" sheetId="5" r:id="R6e912cb490d14209"/>
    <x:sheet xmlns:r="http://schemas.openxmlformats.org/officeDocument/2006/relationships" name="App Import Guide" sheetId="6" r:id="R36e9b019b4cb4bd4"/>
  </x:sheets>
</x:workbook>
</file>

<file path=xl/comments1.xml><?xml version="1.0" encoding="utf-8"?>
<x:comments xmlns:x="http://schemas.openxmlformats.org/spreadsheetml/2006/main">
  <x:authors>
    <x:author>tc={9DB6BB9B-08C7-2410-31F2-96D46B728955}</x:author>
  </x:authors>
  <x:commentList>
    <x:comment ref="A4" authorId="0">
      <x:text>
        <x:r>
          <x:t>[Threaded comment]
Your version of Excel allows you to read this threaded comment; however, any edits to it will get removed if the file is opened in a newer version of Excel. Learn more: https://go.microsoft.com/fwlink/?linkid=870924
Comment:
    Stable identifier: preserve this value when the challenge wording is updated so student progress remains connected.</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20"/>
      <x:color rgb="FFFFFFFF"/>
      <x:name val="Carlito"/>
    </x:font>
    <x:font>
      <x:i/>
      <x:sz val="11"/>
      <x:color rgb="FF17324D"/>
      <x:name val="Carlito"/>
    </x:font>
    <x:font>
      <x:b/>
      <x:sz val="11"/>
      <x:color rgb="FF17324D"/>
      <x:name val="Carlito"/>
    </x:font>
    <x:font>
      <x:b/>
      <x:sz val="14"/>
      <x:color rgb="FFFFFFFF"/>
      <x:name val="Carlito"/>
    </x:font>
    <x:font>
      <x:sz val="12"/>
      <x:color rgb="FF17324D"/>
      <x:name val="Carlito"/>
    </x:font>
    <x:font>
      <x:b/>
      <x:sz val="11"/>
      <x:color rgb="FF166534"/>
      <x:name val="Carlito"/>
    </x:font>
    <x:font>
      <x:b/>
      <x:sz val="11"/>
      <x:color rgb="FFFFFFFF"/>
      <x:name val="Carlito"/>
    </x:font>
    <x:font>
      <x:sz val="10"/>
      <x:color rgb="FF0F172A"/>
      <x:name val="Carlito"/>
    </x:font>
  </x:fonts>
  <x:fills count="11">
    <x:fill>
      <x:patternFill patternType="none"/>
    </x:fill>
    <x:fill>
      <x:patternFill patternType="gray125"/>
    </x:fill>
    <x:fill>
      <x:patternFill patternType="solid">
        <x:fgColor rgb="FF166534"/>
      </x:patternFill>
    </x:fill>
    <x:fill>
      <x:patternFill patternType="solid">
        <x:fgColor rgb="FFDCFCE7"/>
      </x:patternFill>
    </x:fill>
    <x:fill>
      <x:patternFill patternType="solid">
        <x:fgColor rgb="FFFFEDD5"/>
      </x:patternFill>
    </x:fill>
    <x:fill>
      <x:patternFill patternType="solid">
        <x:fgColor rgb="FFF8FAFC"/>
      </x:patternFill>
    </x:fill>
    <x:fill>
      <x:patternFill patternType="solid">
        <x:fgColor rgb="FFF97316"/>
      </x:patternFill>
    </x:fill>
    <x:fill>
      <x:patternFill patternType="solid">
        <x:fgColor rgb="FF17324D"/>
      </x:patternFill>
    </x:fill>
    <x:fill>
      <x:patternFill patternType="solid">
        <x:fgColor rgb="FFFFFFFF"/>
      </x:patternFill>
    </x:fill>
    <x:fill>
      <x:patternFill patternType="solid">
        <x:fgColor rgb="FF166534"/>
      </x:patternFill>
    </x:fill>
    <x:fill>
      <x:patternFill patternType="solid">
        <x:fgColor rgb="FFDCFCE7"/>
      </x:patternFill>
    </x:fill>
  </x:fills>
  <x:borders count="11">
    <x:border/>
    <x:border>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top style="thin">
        <x:color rgb="FFCBD5E1"/>
      </x:top>
    </x:border>
    <x:border>
      <x:bottom style="thin">
        <x:color rgb="FFE2E8F0"/>
      </x:bottom>
    </x:border>
    <x:border>
      <x:top style="thin">
        <x:color rgb="FFE2E8F0"/>
      </x:top>
      <x:bottom style="thin">
        <x:color rgb="FFE2E8F0"/>
      </x:bottom>
    </x:border>
    <x:border>
      <x:top style="thin">
        <x:color rgb="FFE2E8F0"/>
      </x:top>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5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3" fillId="4" borderId="0" xfId="0" applyNumberFormat="1" applyFont="1" applyFill="1" applyBorder="1" applyAlignment="1">
      <x:alignment wrapText="1"/>
    </x:xf>
    <x:xf numFmtId="0" fontId="0" fillId="5"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3" fillId="4" borderId="5" xfId="0" applyNumberFormat="1" applyFont="1" applyFill="1" applyBorder="1" applyAlignment="1">
      <x:alignment vertical="top" wrapText="1"/>
    </x:xf>
    <x:xf numFmtId="0" fontId="0" fillId="5" borderId="6"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0" fontId="6" fillId="3" borderId="0" xfId="0" applyNumberFormat="1" applyFont="1" applyFill="1" applyBorder="1"/>
    <x:xf numFmtId="0" fontId="6" fillId="3" borderId="0" xfId="0" applyNumberFormat="1" applyFont="1" applyFill="1" applyBorder="1" applyAlignment="1">
      <x:alignment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8" fillId="0" borderId="7"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0" borderId="9"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8" fillId="5" borderId="8" xfId="0" applyNumberFormat="1" applyFont="1" applyFill="1" applyBorder="1" applyAlignment="1">
      <x:alignment vertical="top"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5" borderId="9" xfId="0" applyNumberFormat="1" applyFont="1" applyFill="1" applyBorder="1" applyAlignment="1">
      <x:alignment vertical="top" wrapText="1"/>
    </x:xf>
    <x:xf numFmtId="200" fontId="8" fillId="8" borderId="7" xfId="0" applyNumberFormat="1" applyFont="1" applyFill="1" applyBorder="1" applyAlignment="1">
      <x:alignment vertical="top" wrapText="1"/>
    </x:xf>
    <x:xf numFmtId="200" fontId="8" fillId="5" borderId="8" xfId="0" applyNumberFormat="1" applyFont="1" applyFill="1" applyBorder="1" applyAlignment="1">
      <x:alignment vertical="top" wrapText="1"/>
    </x:xf>
    <x:xf numFmtId="200" fontId="8" fillId="8" borderId="8" xfId="0" applyNumberFormat="1" applyFont="1" applyFill="1" applyBorder="1" applyAlignment="1">
      <x:alignment vertical="top" wrapText="1"/>
    </x:xf>
    <x:xf numFmtId="200" fontId="8" fillId="8" borderId="9" xfId="0" applyNumberFormat="1" applyFont="1" applyFill="1" applyBorder="1" applyAlignment="1">
      <x:alignment vertical="top" wrapText="1"/>
    </x:xf>
    <x:xf numFmtId="200" fontId="8" fillId="5" borderId="9" xfId="0" applyNumberFormat="1" applyFont="1" applyFill="1" applyBorder="1" applyAlignment="1">
      <x:alignment vertical="top" wrapText="1"/>
    </x:xf>
    <x:xf numFmtId="0" fontId="0" fillId="8" borderId="0" xfId="0" applyNumberFormat="1" applyFont="1" applyFill="1" applyBorder="1"/>
    <x:xf numFmtId="0" fontId="6" fillId="3" borderId="10" xfId="0" applyNumberFormat="1" applyFont="1" applyFill="1" applyBorder="1"/>
    <x:xf numFmtId="0" fontId="0" fillId="8" borderId="10" xfId="0" applyNumberFormat="1" applyFont="1" applyFill="1" applyBorder="1"/>
    <x:xf numFmtId="0" fontId="6" fillId="3" borderId="10" xfId="0" applyNumberFormat="1" applyFont="1" applyFill="1" applyBorder="1" applyAlignment="1">
      <x:alignment wrapText="1"/>
    </x:xf>
    <x:xf numFmtId="0" fontId="0" fillId="8" borderId="10" xfId="0" applyNumberFormat="1" applyFont="1" applyFill="1" applyBorder="1" applyAlignment="1">
      <x:alignment wrapText="1"/>
    </x:xf>
    <x:xf numFmtId="0" fontId="1" fillId="9" borderId="0" xfId="0" applyNumberFormat="1" applyFont="1" applyFill="1" applyBorder="1" applyAlignment="1">
      <x:alignment vertical="center"/>
    </x:xf>
    <x:xf numFmtId="0" fontId="0" fillId="9" borderId="0" xfId="0" applyNumberFormat="1" applyFont="1" applyFill="1" applyBorder="1"/>
    <x:xf numFmtId="0" fontId="1" fillId="9" borderId="0" xfId="0" applyNumberFormat="1" applyFont="1" applyFill="1" applyBorder="1"/>
    <x:xf numFmtId="0" fontId="2" fillId="10"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cellXfs>
  <x:cellStyles count="1">
    <x:cellStyle name="Normal" xfId="0"/>
  </x:cellStyles>
  <x:dxfs count="2">
    <x:dxf>
      <x:font>
        <x:b/>
        <x:color rgb="FF166534"/>
      </x:font>
      <x:fill>
        <x:patternFill>
          <x:bgColor rgb="FFDCFCE7"/>
        </x:patternFill>
      </x:fill>
    </x:dxf>
    <x:dxf>
      <x:font>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b2fa5ce4cf44a00" /><Relationship Type="http://schemas.openxmlformats.org/officeDocument/2006/relationships/theme" Target="/xl/theme/theme1.xml" Id="Re0ba0d4196694f1a" /><Relationship Type="http://schemas.openxmlformats.org/officeDocument/2006/relationships/sharedStrings" Target="/xl/sharedStrings.xml" Id="R8f6116a741244c58" /><Relationship Type="http://schemas.openxmlformats.org/officeDocument/2006/relationships/worksheet" Target="/xl/worksheets/sheet1.xml" Id="R57dab22ec0f844de" /><Relationship Type="http://schemas.openxmlformats.org/officeDocument/2006/relationships/worksheet" Target="/xl/worksheets/sheet2.xml" Id="R745b9467d0e0414b" /><Relationship Type="http://schemas.openxmlformats.org/officeDocument/2006/relationships/worksheet" Target="/xl/worksheets/sheet3.xml" Id="Rdb482c31a0a14771" /><Relationship Type="http://schemas.openxmlformats.org/officeDocument/2006/relationships/worksheet" Target="/xl/worksheets/sheet4.xml" Id="R67ef63afdf8b4d9a" /><Relationship Type="http://schemas.openxmlformats.org/officeDocument/2006/relationships/worksheet" Target="/xl/worksheets/sheet5.xml" Id="R6e912cb490d14209" /><Relationship Type="http://schemas.openxmlformats.org/officeDocument/2006/relationships/worksheet" Target="/xl/worksheets/sheet6.xml" Id="R36e9b019b4cb4bd4" /><Relationship Type="http://schemas.microsoft.com/office/2017/10/relationships/person" Target="/xl/persons/person.xml" Id="R4ba9749039dd4057" /></Relationships>
</file>

<file path=xl/persons/person.xml><?xml version="1.0" encoding="utf-8"?>
<xltc:personList xmlns:xltc="http://schemas.microsoft.com/office/spreadsheetml/2018/threadedcomments">
  <xltc:person displayName="Marie Therese" id="{B4EFD703-3018-4AAC-8215-AFDA52AF98CC}"/>
</xltc:personList>
</file>

<file path=xl/tables/table1.xml><?xml version="1.0" encoding="utf-8"?>
<x:table xmlns:x="http://schemas.openxmlformats.org/spreadsheetml/2006/main" id="1" name="ChallengeDatabase" displayName="ChallengeDatabase" ref="A4:Q9" headerRowCount="1" totalsRowCount="0" totalsRowShown="0">
  <x:tableColumns count="17">
    <x:tableColumn id="1" name="Challenge ID"/>
    <x:tableColumn id="2" name="Subject"/>
    <x:tableColumn id="3" name="Topic No."/>
    <x:tableColumn id="4" name="Topic"/>
    <x:tableColumn id="5" name="Paper"/>
    <x:tableColumn id="6" name="Challenge Title"/>
    <x:tableColumn id="7" name="Starting Scenario"/>
    <x:tableColumn id="8" name="Final Big-Picture Prompt"/>
    <x:tableColumn id="9" name="Concepts Covered"/>
    <x:tableColumn id="10" name="Possible Connections"/>
    <x:tableColumn id="11" name="Grade Demand"/>
    <x:tableColumn id="12" name="Tier"/>
    <x:tableColumn id="13" name="Required Practical Links"/>
    <x:tableColumn id="14" name="Final Model Answer"/>
    <x:tableColumn id="15" name="Source URL"/>
    <x:tableColumn id="16" name="Version"/>
    <x:tableColumn id="17" name="Status"/>
  </x:tableColumns>
  <x:tableStyleInfo name="TableStyleMedium2" showFirstColumn="0" showLastColumn="0" showRowStripes="1" showColumnStripes="0"/>
</x:table>
</file>

<file path=xl/tables/table2.xml><?xml version="1.0" encoding="utf-8"?>
<x:table xmlns:x="http://schemas.openxmlformats.org/spreadsheetml/2006/main" id="2" name="ScaffoldStageDatabase" displayName="ScaffoldStageDatabase" ref="A4:Q54" headerRowCount="1" totalsRowCount="0" totalsRowShown="0">
  <x:tableColumns count="17">
    <x:tableColumn id="1" name="Stage ID"/>
    <x:tableColumn id="2" name="Challenge ID"/>
    <x:tableColumn id="3" name="Stage"/>
    <x:tableColumn id="4" name="Stage Title"/>
    <x:tableColumn id="5" name="Prompt"/>
    <x:tableColumn id="6" name="Hint 1"/>
    <x:tableColumn id="7" name="Hint 2"/>
    <x:tableColumn id="8" name="Model Response"/>
    <x:tableColumn id="9" name="Target Connection"/>
    <x:tableColumn id="10" name="Common Misconception"/>
    <x:tableColumn id="11" name="AO"/>
    <x:tableColumn id="12" name="Marks"/>
    <x:tableColumn id="13" name="Reveal Type"/>
    <x:tableColumn id="14" name="Student Input"/>
    <x:tableColumn id="15" name="Allow Retry"/>
    <x:tableColumn id="16" name="Show Before Final?"/>
    <x:tableColumn id="17" name="Sort Key"/>
  </x:tableColumns>
  <x:tableStyleInfo name="TableStyleMedium2" showFirstColumn="0" showLastColumn="0" showRowStripes="1" showColumnStripes="0"/>
</x:table>
</file>

<file path=xl/tables/table3.xml><?xml version="1.0" encoding="utf-8"?>
<x:table xmlns:x="http://schemas.openxmlformats.org/spreadsheetml/2006/main" id="3" name="ConnectionMapDatabase" displayName="ConnectionMapDatabase" ref="A4:L54" headerRowCount="1" totalsRowCount="0" totalsRowShown="0">
  <x:tableColumns count="12">
    <x:tableColumn id="1" name="Connection ID"/>
    <x:tableColumn id="2" name="Challenge ID"/>
    <x:tableColumn id="3" name="Order"/>
    <x:tableColumn id="4" name="Concept"/>
    <x:tableColumn id="5" name="Target Link"/>
    <x:tableColumn id="6" name="Evidence Required"/>
    <x:tableColumn id="7" name="Max Points"/>
    <x:tableColumn id="8" name="Priority"/>
    <x:tableColumn id="9" name="Success Feedback"/>
    <x:tableColumn id="10" name="Missing-Connection Feedback"/>
    <x:tableColumn id="11" name="Student Score"/>
    <x:tableColumn id="12" name="Master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4" dT="2026-08-14T12:22:49.649" personId="{B4EFD703-3018-4AAC-8215-AFDA52AF98CC}" id="{9DB6BB9B-08C7-2410-31F2-96D46B728955}">
    <xltc:text>Stable identifier: preserve this value when the challenge wording is updated so student progress remains connected.</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e2138dd2a29f4ef6" /><Relationship Type="http://schemas.openxmlformats.org/officeDocument/2006/relationships/vmlDrawing" Target="/xl/drawings/vmldrawing.vml" Id="Rd47ec328dffa4233" /><Relationship Type="http://schemas.microsoft.com/office/2017/10/relationships/threadedComment" Target="/xl/threadedcomments/threadedcomment.xml" Id="R5d596873da1f450c" /><Relationship Type="http://schemas.openxmlformats.org/officeDocument/2006/relationships/table" Target="/xl/tables/table1.xml" Id="R1557e5b170bf4037" /></Relationships>
</file>

<file path=xl/worksheets/_rels/sheet3.xml.rels>&#65279;<?xml version="1.0" encoding="utf-8"?><Relationships xmlns="http://schemas.openxmlformats.org/package/2006/relationships"><Relationship Type="http://schemas.openxmlformats.org/officeDocument/2006/relationships/table" Target="/xl/tables/table2.xml" Id="R3ea233096f47479b" /></Relationships>
</file>

<file path=xl/worksheets/_rels/sheet4.xml.rels>&#65279;<?xml version="1.0" encoding="utf-8"?><Relationships xmlns="http://schemas.openxmlformats.org/package/2006/relationships"><Relationship Type="http://schemas.openxmlformats.org/officeDocument/2006/relationships/table" Target="/xl/tables/table3.xml" Id="R320908b2e9e842a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00" hidden="0" customWidth="1"/>
    <x:col min="4" max="4" width="26" hidden="0" customWidth="1"/>
    <x:col min="5" max="5" width="18" hidden="0" customWidth="1"/>
  </x:cols>
  <x:sheetData>
    <x:row r="1" ht="34" customHeight="1">
      <x:c r="A1" s="3" t="str">
        <x:v>ScienceMastery — Challenge Me Physics Prototype</x:v>
      </x:c>
    </x:row>
    <x:row r="2" ht="32" customHeight="1">
      <x:c r="A2" s="6" t="str">
        <x:v>A consistent data model for one flagship connected-system challenge per AQA Physics topic.</x:v>
      </x:c>
    </x:row>
    <x:row r="4">
      <x:c r="A4" s="14" t="str">
        <x:v>Purpose</x:v>
      </x:c>
      <x:c r="B4" s="15" t="str">
        <x:v>Challenge Me tests whether students can connect a whole topic to explain one authentic scenario. It is not simply a difficult exam question.</x:v>
      </x:c>
      <x:c r="D4" s="29" t="str">
        <x:v>Prototype summary</x:v>
      </x:c>
      <x:c r="E4" s="31"/>
    </x:row>
    <x:row r="5">
      <x:c r="A5" s="16" t="str">
        <x:v>Prototype coverage</x:v>
      </x:c>
      <x:c r="B5" s="17" t="str">
        <x:v>AQA GCSE Physics Topics 1–5. One flagship challenge per topic.</x:v>
      </x:c>
      <x:c r="D5" s="50" t="str">
        <x:v>Flagship challenges</x:v>
      </x:c>
      <x:c r="E5" s="51" t="n">
        <x:v>5</x:v>
      </x:c>
    </x:row>
    <x:row r="6">
      <x:c r="A6" s="16" t="str">
        <x:v>Student journey</x:v>
      </x:c>
      <x:c r="B6" s="17" t="str">
        <x:v>Scenario → staged connection questions → unprompted big-picture response → connection map and targeted feedback.</x:v>
      </x:c>
      <x:c r="D6" s="50" t="str">
        <x:v>Scaffold stages</x:v>
      </x:c>
      <x:c r="E6" s="51" t="n">
        <x:v>50</x:v>
      </x:c>
    </x:row>
    <x:row r="7">
      <x:c r="A7" s="16" t="str">
        <x:v>Scoring</x:v>
      </x:c>
      <x:c r="B7" s="17" t="str">
        <x:v>Award 1 connection point only when the student links ideas causally and accurately. Do not award a point for merely naming two concepts.</x:v>
      </x:c>
      <x:c r="D7" s="50" t="str">
        <x:v>Connection targets</x:v>
      </x:c>
      <x:c r="E7" s="51" t="n">
        <x:v>50</x:v>
      </x:c>
    </x:row>
    <x:row r="8">
      <x:c r="A8" s="16" t="str">
        <x:v>Recommended app rule</x:v>
      </x:c>
      <x:c r="B8" s="17" t="str">
        <x:v>Do not show the final concept checklist before the student submits the big-picture response.</x:v>
      </x:c>
      <x:c r="D8" s="50" t="str">
        <x:v>Topics covered</x:v>
      </x:c>
      <x:c r="E8" s="51" t="str">
        <x:v>1–5</x:v>
      </x:c>
    </x:row>
    <x:row r="9">
      <x:c r="A9" s="16" t="str">
        <x:v>Core template</x:v>
      </x:c>
      <x:c r="B9" s="17" t="str">
        <x:v>Challenge record, scaffold-stage records, connection records, scoring rubric and import guide.</x:v>
      </x:c>
      <x:c r="D9" s="50" t="str">
        <x:v>Suggested score</x:v>
      </x:c>
      <x:c r="E9" s="51" t="str">
        <x:v>x / 10 per topic</x:v>
      </x:c>
    </x:row>
    <x:row r="10">
      <x:c r="A10" s="16" t="str">
        <x:v>Answer policy</x:v>
      </x:c>
      <x:c r="B10" s="17" t="str">
        <x:v>Model answers contain creditworthy science only. Hints are graduated and misconceptions are student-facing.</x:v>
      </x:c>
    </x:row>
    <x:row r="11">
      <x:c r="A11" s="16" t="str">
        <x:v>Future expansion</x:v>
      </x:c>
      <x:c r="B11" s="17" t="str">
        <x:v>Use the same schema for Topics 6–7, Chemistry and Physics; change scenarios and connection targets, not the data structure.</x:v>
      </x:c>
    </x:row>
    <x:row r="12">
      <x:c r="A12" s="18" t="str">
        <x:v>Source standard</x:v>
      </x:c>
      <x:c r="B12" s="19" t="str">
        <x:v>Content aligned to the official AQA GCSE Physics 8463 subject-content pages.</x:v>
      </x:c>
    </x:row>
    <x:row r="14">
      <x:c r="A14" s="21" t="str">
        <x:v>Template principle</x:v>
      </x:c>
    </x:row>
    <x:row r="15">
      <x:c r="A15" s="24" t="str">
        <x:v>Keep the learner experience consistent, but never force every topic into identical science. Each challenge should contain 8–10 meaningful connections, staged hints, a final unprompted synthesis and a transparent connection map shown only afterwards.</x:v>
      </x:c>
    </x:row>
  </x:sheetData>
  <x:mergeCells>
    <x:mergeCell ref="A1:H1"/>
    <x:mergeCell ref="A2:H2"/>
    <x:mergeCell ref="A14:H14"/>
    <x:mergeCell ref="A15:H17"/>
    <x:mergeCell ref="D4:H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1" hidden="0" customWidth="1"/>
    <x:col min="3" max="3" width="9" hidden="0" customWidth="1"/>
    <x:col min="4" max="4" width="23" hidden="0" customWidth="1"/>
    <x:col min="5" max="5" width="11" hidden="0" customWidth="1"/>
    <x:col min="6" max="6" width="38" hidden="0" customWidth="1"/>
    <x:col min="7" max="7" width="65" hidden="0" customWidth="1"/>
    <x:col min="8" max="8" width="70" hidden="0" customWidth="1"/>
    <x:col min="9" max="9" width="55" hidden="0" customWidth="1"/>
    <x:col min="10" max="10" width="12" hidden="0" customWidth="1"/>
    <x:col min="11" max="11" width="14" hidden="0" customWidth="1"/>
    <x:col min="12" max="12" width="22" hidden="0" customWidth="1"/>
    <x:col min="13" max="13" width="31" hidden="0" customWidth="1"/>
    <x:col min="14" max="14" width="90" hidden="0" customWidth="1"/>
    <x:col min="15" max="15" width="45" hidden="0" customWidth="1"/>
    <x:col min="16" max="16" width="10" hidden="0" customWidth="1"/>
    <x:col min="17" max="17" width="18" hidden="0" customWidth="1"/>
  </x:cols>
  <x:sheetData>
    <x:row r="1" ht="34" customHeight="1">
      <x:c r="A1" s="3" t="str">
        <x:v>Challenge Database</x:v>
      </x:c>
    </x:row>
    <x:row r="2" ht="32" customHeight="1">
      <x:c r="A2" s="6" t="str">
        <x:v>One row per flagship topic challenge. Use Challenge ID as the stable import key.</x:v>
      </x:c>
    </x:row>
    <x:row r="4" ht="32" customHeight="1">
      <x:c r="A4" s="30" t="str">
        <x:v>Challenge ID</x:v>
      </x:c>
      <x:c r="B4" s="30" t="str">
        <x:v>Subject</x:v>
      </x:c>
      <x:c r="C4" s="30" t="str">
        <x:v>Topic No.</x:v>
      </x:c>
      <x:c r="D4" s="30" t="str">
        <x:v>Topic</x:v>
      </x:c>
      <x:c r="E4" s="30" t="str">
        <x:v>Paper</x:v>
      </x:c>
      <x:c r="F4" s="30" t="str">
        <x:v>Challenge Title</x:v>
      </x:c>
      <x:c r="G4" s="30" t="str">
        <x:v>Starting Scenario</x:v>
      </x:c>
      <x:c r="H4" s="30" t="str">
        <x:v>Final Big-Picture Prompt</x:v>
      </x:c>
      <x:c r="I4" s="30" t="str">
        <x:v>Concepts Covered</x:v>
      </x:c>
      <x:c r="J4" s="30" t="str">
        <x:v>Possible Connections</x:v>
      </x:c>
      <x:c r="K4" s="30" t="str">
        <x:v>Grade Demand</x:v>
      </x:c>
      <x:c r="L4" s="30" t="str">
        <x:v>Tier</x:v>
      </x:c>
      <x:c r="M4" s="30" t="str">
        <x:v>Required Practical Links</x:v>
      </x:c>
      <x:c r="N4" s="30" t="str">
        <x:v>Final Model Answer</x:v>
      </x:c>
      <x:c r="O4" s="30" t="str">
        <x:v>Source URL</x:v>
      </x:c>
      <x:c r="P4" s="30" t="str">
        <x:v>Version</x:v>
      </x:c>
      <x:c r="Q4" s="30" t="str">
        <x:v>Status</x:v>
      </x:c>
    </x:row>
    <x:row r="5">
      <x:c r="A5" s="37" t="str">
        <x:v>PHY-CM-01</x:v>
      </x:c>
      <x:c r="B5" s="37" t="str">
        <x:v>Physics</x:v>
      </x:c>
      <x:c r="C5" s="37" t="n">
        <x:v>1</x:v>
      </x:c>
      <x:c r="D5" s="37" t="str">
        <x:v>Energy</x:v>
      </x:c>
      <x:c r="E5" s="37" t="str">
        <x:v>Paper 1</x:v>
      </x:c>
      <x:c r="F5" s="37" t="str">
        <x:v>How does a rollercoaster complete its journey?</x:v>
      </x:c>
      <x:c r="G5" s="37" t="str">
        <x:v>A rollercoaster train is pulled to the top of the first hill, released, moves through dips and turns, and is finally stopped by brakes. Its speed and height change while friction warms the wheels, track and surroundings.</x:v>
      </x:c>
      <x:c r="H5" s="37" t="str">
        <x:v>Explain the rollercoaster’s complete journey from being lifted to being stopped. Connect energy stores, transfers, forces, work, power, dissipation, efficiency and ways engineers reduce unwanted transfers.</x:v>
      </x:c>
      <x:c r="I5" s="37" t="str">
        <x:v>Energy stores; gravitational potential; kinetic; elastic; thermal; work done; power; conservation; dissipation; efficiency; insulation/lubrication</x:v>
      </x:c>
      <x:c r="J5" s="42" t="n">
        <x:v>10</x:v>
      </x:c>
      <x:c r="K5" s="37" t="str">
        <x:v>6–9</x:v>
      </x:c>
      <x:c r="L5" s="37" t="str">
        <x:v>Both / Higher extension</x:v>
      </x:c>
      <x:c r="M5" s="37" t="str">
        <x:v>Specific heat capacity; thermal insulation</x:v>
      </x:c>
      <x:c r="N5" s="37" t="str">
        <x:v>The lift motor transfers energy electrically and mechanically to increase the train’s gravitational potential energy. ΔEₚ = mgh. As the train descends, energy is transferred from the gravitational store to the kinetic store, with Eₖ = ½mv². Forces do work when they move the train through a distance, W = Fs. The motor’s power is the rate of energy transfer, P = E/t. Total energy is conserved, but friction and air resistance transfer energy to thermal stores of the train, track and surroundings, so less remains in useful mechanical stores. Brakes increase these thermal transfers to stop the train. Efficiency compares useful output with total input; lubrication and streamlined design reduce unwanted transfers, but no real ride is 100% efficient.</x:v>
      </x:c>
      <x:c r="O5" s="37" t="str">
        <x:v>https://www.aqa.org.uk/subjects/physics/gcse/physics-8463/specification/subject-content/energy</x:v>
      </x:c>
      <x:c r="P5" s="37" t="str">
        <x:v>1.0</x:v>
      </x:c>
      <x:c r="Q5" s="37" t="str">
        <x:v>Prototype ready</x:v>
      </x:c>
    </x:row>
    <x:row r="6">
      <x:c r="A6" s="38" t="str">
        <x:v>PHY-CM-02</x:v>
      </x:c>
      <x:c r="B6" s="38" t="str">
        <x:v>Physics</x:v>
      </x:c>
      <x:c r="C6" s="38" t="n">
        <x:v>2</x:v>
      </x:c>
      <x:c r="D6" s="38" t="str">
        <x:v>Electricity</x:v>
      </x:c>
      <x:c r="E6" s="38" t="str">
        <x:v>Paper 1</x:v>
      </x:c>
      <x:c r="F6" s="38" t="str">
        <x:v>How does an electric kettle boil water safely?</x:v>
      </x:c>
      <x:c r="G6" s="38" t="str">
        <x:v>A 3.0 kW kettle is connected to the UK mains supply. Closing its switch completes the circuit, the heating element becomes hot, energy transfers to the water, and safety devices protect the user if a fault occurs.</x:v>
      </x:c>
      <x:c r="H6" s="38" t="str">
        <x:v>Explain the complete journey from the UK mains supply to the water boiling. Connect potential difference, charge, current, resistance, heating, power, energy transfer, alternating current and mains safety.</x:v>
      </x:c>
      <x:c r="I6" s="38" t="str">
        <x:v>Charge; current; potential difference; resistance; I–V; heating; power; energy; AC mains; live/neutral/earth; fuse/circuit breaker</x:v>
      </x:c>
      <x:c r="J6" s="43" t="n">
        <x:v>10</x:v>
      </x:c>
      <x:c r="K6" s="38" t="str">
        <x:v>6–9</x:v>
      </x:c>
      <x:c r="L6" s="38" t="str">
        <x:v>Both / Higher extension</x:v>
      </x:c>
      <x:c r="M6" s="38" t="str">
        <x:v>Resistance of a wire; I–V characteristics</x:v>
      </x:c>
      <x:c r="N6" s="38" t="str">
        <x:v>UK mains provides about 230 V alternating potential difference at 50 Hz. Closing the switch completes the circuit and establishes a potential difference across the element. Current is the rate of flow of charge, I = Q/t; the charges transfer energy rather than being used up. Potential difference is energy transferred per unit charge, V = E/Q. The element’s resistance causes energy to be transferred from moving charges to the lattice, increasing its thermal store. P = VI and E = Pt explain why a high-power kettle transfers energy quickly. The hot element transfers energy to the water, raising its internal energy until it boils. If the live wire contacts a metal case, the earth provides a low-resistance path and a large current operates the fuse or circuit breaker. Double insulation is an alternative protection for plastic-cased appliances.</x:v>
      </x:c>
      <x:c r="O6" s="38" t="str">
        <x:v>https://www.aqa.org.uk/subjects/physics/gcse/physics-8463/specification/subject-content/electricity</x:v>
      </x:c>
      <x:c r="P6" s="38" t="str">
        <x:v>1.0</x:v>
      </x:c>
      <x:c r="Q6" s="38" t="str">
        <x:v>Prototype ready</x:v>
      </x:c>
    </x:row>
    <x:row r="7">
      <x:c r="A7" s="39" t="str">
        <x:v>PHY-CM-03</x:v>
      </x:c>
      <x:c r="B7" s="39" t="str">
        <x:v>Physics</x:v>
      </x:c>
      <x:c r="C7" s="39" t="n">
        <x:v>3</x:v>
      </x:c>
      <x:c r="D7" s="39" t="str">
        <x:v>Particle Model of Matter</x:v>
      </x:c>
      <x:c r="E7" s="39" t="str">
        <x:v>Paper 1</x:v>
      </x:c>
      <x:c r="F7" s="39" t="str">
        <x:v>Why does a pressure cooker cook quickly—and become dangerous if blocked?</x:v>
      </x:c>
      <x:c r="G7" s="39" t="str">
        <x:v>A sealed pressure cooker contains water, food and some air. Heating increases internal energy; water may boil, steam forms and pressure rises. A safety valve must prevent the pressure becoming dangerously high.</x:v>
      </x:c>
      <x:c r="H7" s="39" t="str">
        <x:v>Explain what happens inside a pressure cooker from heating to cooling. Connect particle arrangement, density, internal energy, specific heat capacity, changes of state, latent heat, gas pressure and the safety valve.</x:v>
      </x:c>
      <x:c r="I7" s="39" t="str">
        <x:v>Particle model; density; internal energy; temperature; specific heat capacity; melting/boiling; latent heat; gas pressure; pressure–volume relationship</x:v>
      </x:c>
      <x:c r="J7" s="44" t="n">
        <x:v>10</x:v>
      </x:c>
      <x:c r="K7" s="39" t="str">
        <x:v>6–9</x:v>
      </x:c>
      <x:c r="L7" s="39" t="str">
        <x:v>Both / Higher extension</x:v>
      </x:c>
      <x:c r="M7" s="39" t="str">
        <x:v>Density; specific heat capacity</x:v>
      </x:c>
      <x:c r="N7" s="39" t="str">
        <x:v>Solids, liquids and gases differ in particle arrangement and motion. Density is mass divided by volume. Heating transfers energy to internal stores: particle kinetic energy rises, so temperature rises. ΔE = mcΔθ links energy, mass, specific heat capacity and temperature change. At boiling, transferred energy increases potential energy by separating particles rather than raising temperature; E = mL. Steam particles move randomly and collide with cooker walls, producing pressure. Higher temperature makes collisions more frequent and forceful, increasing pressure; at constant temperature, reducing gas volume also raises pressure. Higher pressure raises the boiling temperature, so food cooks faster. A safety valve releases steam if pressure is excessive. During cooling and condensation, latent energy is transferred to the surroundings.</x:v>
      </x:c>
      <x:c r="O7" s="39" t="str">
        <x:v>https://www.aqa.org.uk/subjects/physics/gcse/physics-8463/specification/subject-content/particle-model-of-matter</x:v>
      </x:c>
      <x:c r="P7" s="39" t="str">
        <x:v>1.0</x:v>
      </x:c>
      <x:c r="Q7" s="39" t="str">
        <x:v>Prototype ready</x:v>
      </x:c>
    </x:row>
    <x:row r="8">
      <x:c r="A8" s="38" t="str">
        <x:v>PHY-CM-04</x:v>
      </x:c>
      <x:c r="B8" s="38" t="str">
        <x:v>Physics</x:v>
      </x:c>
      <x:c r="C8" s="38" t="n">
        <x:v>4</x:v>
      </x:c>
      <x:c r="D8" s="38" t="str">
        <x:v>Atomic Structure</x:v>
      </x:c>
      <x:c r="E8" s="38" t="str">
        <x:v>Paper 1</x:v>
      </x:c>
      <x:c r="F8" s="38" t="str">
        <x:v>How can a hospital use radioactivity safely?</x:v>
      </x:c>
      <x:c r="G8" s="38" t="str">
        <x:v>A hospital must choose a radioactive isotope for a medical tracer and another for treating a tumour. Staff must measure radiation, select suitable half-lives and reduce exposure while distinguishing irradiation from contamination.</x:v>
      </x:c>
      <x:c r="H8" s="38" t="str">
        <x:v>Explain how a hospital can use radioactive sources for diagnosis and treatment while controlling risk. Connect atomic structure, isotopes, nuclear radiation, penetration and ionisation, half-life, activity, contamination, irradiation and dose reduction.</x:v>
      </x:c>
      <x:c r="I8" s="38" t="str">
        <x:v>Atoms; isotopes; unstable nuclei; alpha; beta; gamma; nuclear equations; half-life; activity; background radiation; contamination; irradiation; medical uses; fission/fusion extension</x:v>
      </x:c>
      <x:c r="J8" s="43" t="n">
        <x:v>10</x:v>
      </x:c>
      <x:c r="K8" s="38" t="str">
        <x:v>6–9</x:v>
      </x:c>
      <x:c r="L8" s="38" t="str">
        <x:v>Both / Physics-only extension</x:v>
      </x:c>
      <x:c r="M8" s="38" t="str">
        <x:v>Radioactive decay and half-life analysis</x:v>
      </x:c>
      <x:c r="N8" s="38" t="str">
        <x:v>Atoms have a tiny nucleus containing protons and neutrons, surrounded by electrons. Isotopes have the same proton number but different neutron numbers; unstable nuclei decay randomly. Alpha is strongly ionising and weakly penetrating, beta is moderately ionising and penetrating, and gamma is weakly ionising but highly penetrating. Nuclear equations conserve mass and charge numbers. Activity is decays per second and falls with time; half-life is the time for activity or undecayed nuclei to halve. A tracer should emit detectable penetrating radiation and have a short enough half-life to limit dose. Gamma can treat tumours from outside, while suitable alpha or beta sources may be targeted internally. Irradiation is exposure to radiation; contamination places radioactive material on or inside a person. Time, distance and shielding reduce dose.</x:v>
      </x:c>
      <x:c r="O8" s="38" t="str">
        <x:v>https://www.aqa.org.uk/subjects/physics/gcse/physics-8463/specification/subject-content/atomic-structure</x:v>
      </x:c>
      <x:c r="P8" s="38" t="str">
        <x:v>1.0</x:v>
      </x:c>
      <x:c r="Q8" s="38" t="str">
        <x:v>Prototype ready</x:v>
      </x:c>
    </x:row>
    <x:row r="9">
      <x:c r="A9" s="40" t="str">
        <x:v>PHY-CM-05</x:v>
      </x:c>
      <x:c r="B9" s="40" t="str">
        <x:v>Physics</x:v>
      </x:c>
      <x:c r="C9" s="40" t="n">
        <x:v>5</x:v>
      </x:c>
      <x:c r="D9" s="40" t="str">
        <x:v>Forces</x:v>
      </x:c>
      <x:c r="E9" s="40" t="str">
        <x:v>Paper 2</x:v>
      </x:c>
      <x:c r="F9" s="40" t="str">
        <x:v>How do forces and safety systems protect someone in a car crash?</x:v>
      </x:c>
      <x:c r="G9" s="40" t="str">
        <x:v>A car accelerates along a road, the driver reacts to a hazard, brakes, then collides with a barrier. Seat belts, airbags and crumple zones are designed to reduce injury.</x:v>
      </x:c>
      <x:c r="H9" s="40" t="str">
        <x:v>Explain the journey from acceleration to stopping and collision. Connect resultant force, motion graphs, acceleration, Newton’s laws, momentum, stopping distance, work and energy, deformation, pressure and car-safety features.</x:v>
      </x:c>
      <x:c r="I9" s="40" t="str">
        <x:v>Scalar/vector; resultant force; speed/velocity; acceleration; graphs; Newton laws; weight; work; springs; momentum; stopping distance; reaction/braking; safety</x:v>
      </x:c>
      <x:c r="J9" s="45" t="n">
        <x:v>10</x:v>
      </x:c>
      <x:c r="K9" s="40" t="str">
        <x:v>7–9</x:v>
      </x:c>
      <x:c r="L9" s="40" t="str">
        <x:v>Both / Higher extension</x:v>
      </x:c>
      <x:c r="M9" s="40" t="str">
        <x:v>Force and extension; acceleration</x:v>
      </x:c>
      <x:c r="N9" s="40" t="str">
        <x:v>Velocity is a vector and acceleration is change in velocity per time. A resultant force causes acceleration, F = ma; forces arise in interaction pairs on different objects. During reaction time the car continues at its initial speed, so thinking distance depends on speed, tiredness, alcohol, drugs and distractions. Braking distance depends on speed, mass, brakes, tyres and road conditions. Brakes transfer kinetic energy to thermal stores by work done through friction. Momentum p = mv is conserved in a closed system. In a crash the person’s momentum changes; increasing stopping time using seat belts, airbags and crumple zones reduces the rate of change of momentum and therefore the force. Crumple zones deform and transfer energy; airbags spread force over a larger area, reducing pressure.</x:v>
      </x:c>
      <x:c r="O9" s="40" t="str">
        <x:v>https://www.aqa.org.uk/subjects/physics/gcse/physics-8463/specification/subject-content/forces</x:v>
      </x:c>
      <x:c r="P9" s="40" t="str">
        <x:v>1.0</x:v>
      </x:c>
      <x:c r="Q9" s="40" t="str">
        <x:v>Prototype ready</x:v>
      </x:c>
    </x:row>
  </x:sheetData>
  <x:mergeCells>
    <x:mergeCell ref="A1:Q1"/>
    <x:mergeCell ref="A2:H2"/>
  </x:mergeCells>
  <x:dataValidations count="1">
    <x:dataValidation type="list" sqref="Q5:Q9">
      <x:formula1>"Draft,Review,Prototype ready,Published"</x:formula1>
    </x:dataValidation>
  </x:dataValidations>
  <x:pageMargins left="0.7" right="0.7" top="0.75" bottom="0.75" header="0.3" footer="0.3"/>
  <x:legacyDrawing xmlns:r="http://schemas.openxmlformats.org/officeDocument/2006/relationships" r:id="Rd47ec328dffa4233"/>
  <x:tableParts count="1">
    <x:tablePart xmlns:r="http://schemas.openxmlformats.org/officeDocument/2006/relationships" r:id="R1557e5b170bf403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5" hidden="0" customWidth="1"/>
    <x:col min="3" max="3" width="8" hidden="0" customWidth="1"/>
    <x:col min="4" max="4" width="23" hidden="0" customWidth="1"/>
    <x:col min="5" max="5" width="50" hidden="0" customWidth="1"/>
    <x:col min="6" max="6" width="43" hidden="0" customWidth="1"/>
    <x:col min="7" max="7" width="40" hidden="0" customWidth="1"/>
    <x:col min="8" max="8" width="65" hidden="0" customWidth="1"/>
    <x:col min="9" max="9" width="38" hidden="0" customWidth="1"/>
    <x:col min="10" max="10" width="48" hidden="0" customWidth="1"/>
    <x:col min="11" max="11" width="8" hidden="0" customWidth="1"/>
    <x:col min="12" max="12" width="8" hidden="0" customWidth="1"/>
    <x:col min="13" max="13" width="13" hidden="0" customWidth="1"/>
    <x:col min="14" max="14" width="14" hidden="0" customWidth="1"/>
    <x:col min="15" max="15" width="11" hidden="0" customWidth="1"/>
    <x:col min="16" max="16" width="15" hidden="0" customWidth="1"/>
    <x:col min="17" max="17" width="18" hidden="0" customWidth="1"/>
  </x:cols>
  <x:sheetData>
    <x:row r="1" ht="34" customHeight="1">
      <x:c r="A1" s="3" t="str">
        <x:v>Scaffold Stage Database</x:v>
      </x:c>
    </x:row>
    <x:row r="2" ht="32" customHeight="1">
      <x:c r="A2" s="6" t="str">
        <x:v>One row per reveal stage. The final challenge remains unprompted even though the stages teach the underlying connections.</x:v>
      </x:c>
    </x:row>
    <x:row r="4" ht="32" customHeight="1">
      <x:c r="A4" s="30" t="str">
        <x:v>Stage ID</x:v>
      </x:c>
      <x:c r="B4" s="30" t="str">
        <x:v>Challenge ID</x:v>
      </x:c>
      <x:c r="C4" s="30" t="str">
        <x:v>Stage</x:v>
      </x:c>
      <x:c r="D4" s="30" t="str">
        <x:v>Stage Title</x:v>
      </x:c>
      <x:c r="E4" s="30" t="str">
        <x:v>Prompt</x:v>
      </x:c>
      <x:c r="F4" s="30" t="str">
        <x:v>Hint 1</x:v>
      </x:c>
      <x:c r="G4" s="30" t="str">
        <x:v>Hint 2</x:v>
      </x:c>
      <x:c r="H4" s="30" t="str">
        <x:v>Model Response</x:v>
      </x:c>
      <x:c r="I4" s="30" t="str">
        <x:v>Target Connection</x:v>
      </x:c>
      <x:c r="J4" s="30" t="str">
        <x:v>Common Misconception</x:v>
      </x:c>
      <x:c r="K4" s="30" t="str">
        <x:v>AO</x:v>
      </x:c>
      <x:c r="L4" s="30" t="str">
        <x:v>Marks</x:v>
      </x:c>
      <x:c r="M4" s="30" t="str">
        <x:v>Reveal Type</x:v>
      </x:c>
      <x:c r="N4" s="30" t="str">
        <x:v>Student Input</x:v>
      </x:c>
      <x:c r="O4" s="30" t="str">
        <x:v>Allow Retry</x:v>
      </x:c>
      <x:c r="P4" s="30" t="str">
        <x:v>Show Before Final?</x:v>
      </x:c>
      <x:c r="Q4" s="30" t="str">
        <x:v>Sort Key</x:v>
      </x:c>
    </x:row>
    <x:row r="5">
      <x:c r="A5" s="37" t="str">
        <x:v>PHY-CM-01-S01</x:v>
      </x:c>
      <x:c r="B5" s="37" t="str">
        <x:v>PHY-CM-01</x:v>
      </x:c>
      <x:c r="C5" s="42" t="n">
        <x:v>1</x:v>
      </x:c>
      <x:c r="D5" s="37" t="str">
        <x:v>Energy stores</x:v>
      </x:c>
      <x:c r="E5" s="37" t="str">
        <x:v>Which energy store increases as the train is lifted?</x:v>
      </x:c>
      <x:c r="F5" s="37" t="str">
        <x:v>Identify the store linked to height.</x:v>
      </x:c>
      <x:c r="G5" s="37" t="str">
        <x:v>Mass, field strength and vertical height determine the change.</x:v>
      </x:c>
      <x:c r="H5" s="37" t="str">
        <x:v>The gravitational potential energy store increases. ΔEₚ = mgh.</x:v>
      </x:c>
      <x:c r="I5" s="37" t="str">
        <x:v>lifting → gravitational store</x:v>
      </x:c>
      <x:c r="J5" s="37" t="str">
        <x:v>Energy is stored, not “stored as potential energy inside height”.</x:v>
      </x:c>
      <x:c r="K5" s="37" t="str">
        <x:v>AO1</x:v>
      </x:c>
      <x:c r="L5" s="42" t="n">
        <x:v>2</x:v>
      </x:c>
      <x:c r="M5" s="37" t="str">
        <x:v>Sequential</x:v>
      </x:c>
      <x:c r="N5" s="37" t="str">
        <x:v>Long text</x:v>
      </x:c>
      <x:c r="O5" s="37" t="str">
        <x:v>Yes</x:v>
      </x:c>
      <x:c r="P5" s="37" t="str">
        <x:v>Yes</x:v>
      </x:c>
      <x:c r="Q5" s="37" t="str">
        <x:v>PHY-CM-01-01</x:v>
      </x:c>
    </x:row>
    <x:row r="6">
      <x:c r="A6" s="38" t="str">
        <x:v>PHY-CM-01-S02</x:v>
      </x:c>
      <x:c r="B6" s="38" t="str">
        <x:v>PHY-CM-01</x:v>
      </x:c>
      <x:c r="C6" s="43" t="n">
        <x:v>2</x:v>
      </x:c>
      <x:c r="D6" s="38" t="str">
        <x:v>Transfer pathway</x:v>
      </x:c>
      <x:c r="E6" s="38" t="str">
        <x:v>How does the lift motor transfer energy to the train?</x:v>
      </x:c>
      <x:c r="F6" s="38" t="str">
        <x:v>Distinguish store from transfer pathway.</x:v>
      </x:c>
      <x:c r="G6" s="38" t="str">
        <x:v>The motor receives energy electrically and does mechanical work.</x:v>
      </x:c>
      <x:c r="H6" s="38" t="str">
        <x:v>Energy is transferred electrically to the motor and mechanically to the train as the motor exerts a force through a distance.</x:v>
      </x:c>
      <x:c r="I6" s="38" t="str">
        <x:v>electrical transfer → mechanical work</x:v>
      </x:c>
      <x:c r="J6" s="38" t="str">
        <x:v>Electricity is a transfer pathway, not an energy store.</x:v>
      </x:c>
      <x:c r="K6" s="38" t="str">
        <x:v>AO1</x:v>
      </x:c>
      <x:c r="L6" s="43" t="n">
        <x:v>2</x:v>
      </x:c>
      <x:c r="M6" s="38" t="str">
        <x:v>Sequential</x:v>
      </x:c>
      <x:c r="N6" s="38" t="str">
        <x:v>Long text</x:v>
      </x:c>
      <x:c r="O6" s="38" t="str">
        <x:v>Yes</x:v>
      </x:c>
      <x:c r="P6" s="38" t="str">
        <x:v>Yes</x:v>
      </x:c>
      <x:c r="Q6" s="38" t="str">
        <x:v>PHY-CM-01-02</x:v>
      </x:c>
    </x:row>
    <x:row r="7">
      <x:c r="A7" s="39" t="str">
        <x:v>PHY-CM-01-S03</x:v>
      </x:c>
      <x:c r="B7" s="39" t="str">
        <x:v>PHY-CM-01</x:v>
      </x:c>
      <x:c r="C7" s="44" t="n">
        <x:v>3</x:v>
      </x:c>
      <x:c r="D7" s="39" t="str">
        <x:v>Descent</x:v>
      </x:c>
      <x:c r="E7" s="39" t="str">
        <x:v>Why does the train speed up downhill?</x:v>
      </x:c>
      <x:c r="F7" s="39" t="str">
        <x:v>Track energy changes and the resultant force.</x:v>
      </x:c>
      <x:c r="G7" s="39" t="str">
        <x:v>A decrease in height accompanies an increase in speed.</x:v>
      </x:c>
      <x:c r="H7" s="39" t="str">
        <x:v>Energy is transferred from the gravitational potential store to the kinetic store; a resultant downhill force accelerates the train.</x:v>
      </x:c>
      <x:c r="I7" s="39" t="str">
        <x:v>GPE decrease → KE increase</x:v>
      </x:c>
      <x:c r="J7" s="39" t="str">
        <x:v>Energy does not turn into force.</x:v>
      </x:c>
      <x:c r="K7" s="39" t="str">
        <x:v>AO2</x:v>
      </x:c>
      <x:c r="L7" s="44" t="n">
        <x:v>3</x:v>
      </x:c>
      <x:c r="M7" s="39" t="str">
        <x:v>Sequential</x:v>
      </x:c>
      <x:c r="N7" s="39" t="str">
        <x:v>Long text</x:v>
      </x:c>
      <x:c r="O7" s="39" t="str">
        <x:v>Yes</x:v>
      </x:c>
      <x:c r="P7" s="39" t="str">
        <x:v>Yes</x:v>
      </x:c>
      <x:c r="Q7" s="39" t="str">
        <x:v>PHY-CM-01-03</x:v>
      </x:c>
    </x:row>
    <x:row r="8">
      <x:c r="A8" s="38" t="str">
        <x:v>PHY-CM-01-S04</x:v>
      </x:c>
      <x:c r="B8" s="38" t="str">
        <x:v>PHY-CM-01</x:v>
      </x:c>
      <x:c r="C8" s="43" t="n">
        <x:v>4</x:v>
      </x:c>
      <x:c r="D8" s="38" t="str">
        <x:v>Kinetic calculation</x:v>
      </x:c>
      <x:c r="E8" s="38" t="str">
        <x:v>How is the kinetic energy calculated?</x:v>
      </x:c>
      <x:c r="F8" s="38" t="str">
        <x:v>Write the equation before inserting values.</x:v>
      </x:c>
      <x:c r="G8" s="38" t="str">
        <x:v>Speed is squared.</x:v>
      </x:c>
      <x:c r="H8" s="38" t="str">
        <x:v>Eₖ = ½mv². Insert mass in kg and speed in m/s, square the speed, then give the answer in joules.</x:v>
      </x:c>
      <x:c r="I8" s="38" t="str">
        <x:v>mass + speed → kinetic energy</x:v>
      </x:c>
      <x:c r="J8" s="38" t="str">
        <x:v>Do not forget the square on speed.</x:v>
      </x:c>
      <x:c r="K8" s="38" t="str">
        <x:v>AO2</x:v>
      </x:c>
      <x:c r="L8" s="43" t="n">
        <x:v>3</x:v>
      </x:c>
      <x:c r="M8" s="38" t="str">
        <x:v>Sequential</x:v>
      </x:c>
      <x:c r="N8" s="38" t="str">
        <x:v>Long text</x:v>
      </x:c>
      <x:c r="O8" s="38" t="str">
        <x:v>Yes</x:v>
      </x:c>
      <x:c r="P8" s="38" t="str">
        <x:v>Yes</x:v>
      </x:c>
      <x:c r="Q8" s="38" t="str">
        <x:v>PHY-CM-01-04</x:v>
      </x:c>
    </x:row>
    <x:row r="9">
      <x:c r="A9" s="39" t="str">
        <x:v>PHY-CM-01-S05</x:v>
      </x:c>
      <x:c r="B9" s="39" t="str">
        <x:v>PHY-CM-01</x:v>
      </x:c>
      <x:c r="C9" s="44" t="n">
        <x:v>5</x:v>
      </x:c>
      <x:c r="D9" s="39" t="str">
        <x:v>Work done</x:v>
      </x:c>
      <x:c r="E9" s="39" t="str">
        <x:v>How does a force transfer energy along the track?</x:v>
      </x:c>
      <x:c r="F9" s="39" t="str">
        <x:v>Link force and distance moved in its direction.</x:v>
      </x:c>
      <x:c r="G9" s="39" t="str">
        <x:v>Use W = Fs.</x:v>
      </x:c>
      <x:c r="H9" s="39" t="str">
        <x:v>Work done = force × distance moved in the force direction. Work done is an energy transfer measured in joules.</x:v>
      </x:c>
      <x:c r="I9" s="39" t="str">
        <x:v>force through distance → energy transfer</x:v>
      </x:c>
      <x:c r="J9" s="39" t="str">
        <x:v>A force with no movement does no mechanical work.</x:v>
      </x:c>
      <x:c r="K9" s="39" t="str">
        <x:v>AO2</x:v>
      </x:c>
      <x:c r="L9" s="44" t="n">
        <x:v>3</x:v>
      </x:c>
      <x:c r="M9" s="39" t="str">
        <x:v>Sequential</x:v>
      </x:c>
      <x:c r="N9" s="39" t="str">
        <x:v>Long text</x:v>
      </x:c>
      <x:c r="O9" s="39" t="str">
        <x:v>Yes</x:v>
      </x:c>
      <x:c r="P9" s="39" t="str">
        <x:v>Yes</x:v>
      </x:c>
      <x:c r="Q9" s="39" t="str">
        <x:v>PHY-CM-01-05</x:v>
      </x:c>
    </x:row>
    <x:row r="10">
      <x:c r="A10" s="38" t="str">
        <x:v>PHY-CM-01-S06</x:v>
      </x:c>
      <x:c r="B10" s="38" t="str">
        <x:v>PHY-CM-01</x:v>
      </x:c>
      <x:c r="C10" s="43" t="n">
        <x:v>6</x:v>
      </x:c>
      <x:c r="D10" s="38" t="str">
        <x:v>Power</x:v>
      </x:c>
      <x:c r="E10" s="38" t="str">
        <x:v>Why can one lift motor raise the train faster than another?</x:v>
      </x:c>
      <x:c r="F10" s="38" t="str">
        <x:v>Compare rates of energy transfer.</x:v>
      </x:c>
      <x:c r="G10" s="38" t="str">
        <x:v>Use P = E/t or P = W/t.</x:v>
      </x:c>
      <x:c r="H10" s="38" t="str">
        <x:v>The more powerful motor transfers the same energy in less time. Power is the rate of energy transfer and is measured in watts.</x:v>
      </x:c>
      <x:c r="I10" s="38" t="str">
        <x:v>energy ÷ time → power</x:v>
      </x:c>
      <x:c r="J10" s="38" t="str">
        <x:v>Power and energy are not the same quantity.</x:v>
      </x:c>
      <x:c r="K10" s="38" t="str">
        <x:v>AO2</x:v>
      </x:c>
      <x:c r="L10" s="43" t="n">
        <x:v>3</x:v>
      </x:c>
      <x:c r="M10" s="38" t="str">
        <x:v>Sequential</x:v>
      </x:c>
      <x:c r="N10" s="38" t="str">
        <x:v>Long text</x:v>
      </x:c>
      <x:c r="O10" s="38" t="str">
        <x:v>Yes</x:v>
      </x:c>
      <x:c r="P10" s="38" t="str">
        <x:v>Yes</x:v>
      </x:c>
      <x:c r="Q10" s="38" t="str">
        <x:v>PHY-CM-01-06</x:v>
      </x:c>
    </x:row>
    <x:row r="11">
      <x:c r="A11" s="39" t="str">
        <x:v>PHY-CM-01-S07</x:v>
      </x:c>
      <x:c r="B11" s="39" t="str">
        <x:v>PHY-CM-01</x:v>
      </x:c>
      <x:c r="C11" s="44" t="n">
        <x:v>7</x:v>
      </x:c>
      <x:c r="D11" s="39" t="str">
        <x:v>Dissipation</x:v>
      </x:c>
      <x:c r="E11" s="39" t="str">
        <x:v>Why is the train slower on later hills?</x:v>
      </x:c>
      <x:c r="F11" s="39" t="str">
        <x:v>Account for thermal transfers.</x:v>
      </x:c>
      <x:c r="G11" s="39" t="str">
        <x:v>Consider friction and air resistance.</x:v>
      </x:c>
      <x:c r="H11" s="39" t="str">
        <x:v>Friction and drag transfer energy to thermal stores of wheels, track, air and surroundings, leaving less in useful mechanical stores.</x:v>
      </x:c>
      <x:c r="I11" s="39" t="str">
        <x:v>resistive forces → thermal stores</x:v>
      </x:c>
      <x:c r="J11" s="39" t="str">
        <x:v>Dissipated energy is conserved but becomes less useful.</x:v>
      </x:c>
      <x:c r="K11" s="39" t="str">
        <x:v>AO2</x:v>
      </x:c>
      <x:c r="L11" s="44" t="n">
        <x:v>3</x:v>
      </x:c>
      <x:c r="M11" s="39" t="str">
        <x:v>Sequential</x:v>
      </x:c>
      <x:c r="N11" s="39" t="str">
        <x:v>Long text</x:v>
      </x:c>
      <x:c r="O11" s="39" t="str">
        <x:v>Yes</x:v>
      </x:c>
      <x:c r="P11" s="39" t="str">
        <x:v>Yes</x:v>
      </x:c>
      <x:c r="Q11" s="39" t="str">
        <x:v>PHY-CM-01-07</x:v>
      </x:c>
    </x:row>
    <x:row r="12">
      <x:c r="A12" s="38" t="str">
        <x:v>PHY-CM-01-S08</x:v>
      </x:c>
      <x:c r="B12" s="38" t="str">
        <x:v>PHY-CM-01</x:v>
      </x:c>
      <x:c r="C12" s="43" t="n">
        <x:v>8</x:v>
      </x:c>
      <x:c r="D12" s="38" t="str">
        <x:v>Braking</x:v>
      </x:c>
      <x:c r="E12" s="38" t="str">
        <x:v>How do brakes stop the train?</x:v>
      </x:c>
      <x:c r="F12" s="38" t="str">
        <x:v>Describe force, work and energy.</x:v>
      </x:c>
      <x:c r="G12" s="38" t="str">
        <x:v>Friction acts opposite to motion.</x:v>
      </x:c>
      <x:c r="H12" s="38" t="str">
        <x:v>Braking friction does negative work on the train, reducing its kinetic store and increasing thermal stores until it stops.</x:v>
      </x:c>
      <x:c r="I12" s="38" t="str">
        <x:v>braking work → KE decrease</x:v>
      </x:c>
      <x:c r="J12" s="38" t="str">
        <x:v>Brakes do not destroy kinetic energy.</x:v>
      </x:c>
      <x:c r="K12" s="38" t="str">
        <x:v>AO2</x:v>
      </x:c>
      <x:c r="L12" s="43" t="n">
        <x:v>3</x:v>
      </x:c>
      <x:c r="M12" s="38" t="str">
        <x:v>Sequential</x:v>
      </x:c>
      <x:c r="N12" s="38" t="str">
        <x:v>Long text</x:v>
      </x:c>
      <x:c r="O12" s="38" t="str">
        <x:v>Yes</x:v>
      </x:c>
      <x:c r="P12" s="38" t="str">
        <x:v>Yes</x:v>
      </x:c>
      <x:c r="Q12" s="38" t="str">
        <x:v>PHY-CM-01-08</x:v>
      </x:c>
    </x:row>
    <x:row r="13">
      <x:c r="A13" s="39" t="str">
        <x:v>PHY-CM-01-S09</x:v>
      </x:c>
      <x:c r="B13" s="39" t="str">
        <x:v>PHY-CM-01</x:v>
      </x:c>
      <x:c r="C13" s="44" t="n">
        <x:v>9</x:v>
      </x:c>
      <x:c r="D13" s="39" t="str">
        <x:v>Efficiency</x:v>
      </x:c>
      <x:c r="E13" s="39" t="str">
        <x:v>How should engineers calculate ride efficiency?</x:v>
      </x:c>
      <x:c r="F13" s="39" t="str">
        <x:v>Compare useful output with total input.</x:v>
      </x:c>
      <x:c r="G13" s="39" t="str">
        <x:v>Express as a decimal or percentage.</x:v>
      </x:c>
      <x:c r="H13" s="39" t="str">
        <x:v>Efficiency = useful energy output ÷ total energy input (×100% for a percentage).</x:v>
      </x:c>
      <x:c r="I13" s="39" t="str">
        <x:v>useful ÷ total → efficiency</x:v>
      </x:c>
      <x:c r="J13" s="39" t="str">
        <x:v>Efficiency cannot exceed 100%.</x:v>
      </x:c>
      <x:c r="K13" s="39" t="str">
        <x:v>AO3</x:v>
      </x:c>
      <x:c r="L13" s="44" t="n">
        <x:v>3</x:v>
      </x:c>
      <x:c r="M13" s="39" t="str">
        <x:v>Sequential</x:v>
      </x:c>
      <x:c r="N13" s="39" t="str">
        <x:v>Long text</x:v>
      </x:c>
      <x:c r="O13" s="39" t="str">
        <x:v>Yes</x:v>
      </x:c>
      <x:c r="P13" s="39" t="str">
        <x:v>Yes</x:v>
      </x:c>
      <x:c r="Q13" s="39" t="str">
        <x:v>PHY-CM-01-09</x:v>
      </x:c>
    </x:row>
    <x:row r="14">
      <x:c r="A14" s="38" t="str">
        <x:v>PHY-CM-01-S10</x:v>
      </x:c>
      <x:c r="B14" s="38" t="str">
        <x:v>PHY-CM-01</x:v>
      </x:c>
      <x:c r="C14" s="43" t="n">
        <x:v>10</x:v>
      </x:c>
      <x:c r="D14" s="38" t="str">
        <x:v>Engineering</x:v>
      </x:c>
      <x:c r="E14" s="38" t="str">
        <x:v>How can unwanted transfers be reduced?</x:v>
      </x:c>
      <x:c r="F14" s="38" t="str">
        <x:v>Link each design to a resistive mechanism.</x:v>
      </x:c>
      <x:c r="G14" s="38" t="str">
        <x:v>Consider lubrication and streamlining.</x:v>
      </x:c>
      <x:c r="H14" s="38" t="str">
        <x:v>Lubrication reduces friction and streamlining reduces drag, so less energy is transferred to unwanted thermal stores.</x:v>
      </x:c>
      <x:c r="I14" s="38" t="str">
        <x:v>design choice → lower dissipation</x:v>
      </x:c>
      <x:c r="J14" s="38" t="str">
        <x:v>Reducing dissipation does not remove all resistance.</x:v>
      </x:c>
      <x:c r="K14" s="38" t="str">
        <x:v>AO2</x:v>
      </x:c>
      <x:c r="L14" s="43" t="n">
        <x:v>4</x:v>
      </x:c>
      <x:c r="M14" s="38" t="str">
        <x:v>Sequential</x:v>
      </x:c>
      <x:c r="N14" s="38" t="str">
        <x:v>Long text</x:v>
      </x:c>
      <x:c r="O14" s="38" t="str">
        <x:v>Yes</x:v>
      </x:c>
      <x:c r="P14" s="38" t="str">
        <x:v>Yes</x:v>
      </x:c>
      <x:c r="Q14" s="38" t="str">
        <x:v>PHY-CM-01-10</x:v>
      </x:c>
    </x:row>
    <x:row r="15">
      <x:c r="A15" s="39" t="str">
        <x:v>PHY-CM-02-S01</x:v>
      </x:c>
      <x:c r="B15" s="39" t="str">
        <x:v>PHY-CM-02</x:v>
      </x:c>
      <x:c r="C15" s="44" t="n">
        <x:v>1</x:v>
      </x:c>
      <x:c r="D15" s="39" t="str">
        <x:v>Mains supply</x:v>
      </x:c>
      <x:c r="E15" s="39" t="str">
        <x:v>What type of supply enters the kettle?</x:v>
      </x:c>
      <x:c r="F15" s="39" t="str">
        <x:v>State voltage, current type and frequency.</x:v>
      </x:c>
      <x:c r="G15" s="39" t="str">
        <x:v>UK mains alternates direction 50 times each second.</x:v>
      </x:c>
      <x:c r="H15" s="39" t="str">
        <x:v>The kettle receives about 230 V alternating potential difference at 50 Hz.</x:v>
      </x:c>
      <x:c r="I15" s="39" t="str">
        <x:v>UK mains → 230 V AC 50 Hz</x:v>
      </x:c>
      <x:c r="J15" s="39" t="str">
        <x:v>Frequency is not 50 V.</x:v>
      </x:c>
      <x:c r="K15" s="39" t="str">
        <x:v>AO1</x:v>
      </x:c>
      <x:c r="L15" s="44" t="n">
        <x:v>2</x:v>
      </x:c>
      <x:c r="M15" s="39" t="str">
        <x:v>Sequential</x:v>
      </x:c>
      <x:c r="N15" s="39" t="str">
        <x:v>Long text</x:v>
      </x:c>
      <x:c r="O15" s="39" t="str">
        <x:v>Yes</x:v>
      </x:c>
      <x:c r="P15" s="39" t="str">
        <x:v>Yes</x:v>
      </x:c>
      <x:c r="Q15" s="39" t="str">
        <x:v>PHY-CM-02-01</x:v>
      </x:c>
    </x:row>
    <x:row r="16">
      <x:c r="A16" s="38" t="str">
        <x:v>PHY-CM-02-S02</x:v>
      </x:c>
      <x:c r="B16" s="38" t="str">
        <x:v>PHY-CM-02</x:v>
      </x:c>
      <x:c r="C16" s="43" t="n">
        <x:v>2</x:v>
      </x:c>
      <x:c r="D16" s="38" t="str">
        <x:v>Complete circuit</x:v>
      </x:c>
      <x:c r="E16" s="38" t="str">
        <x:v>Why does current flow only when the switch is closed?</x:v>
      </x:c>
      <x:c r="F16" s="38" t="str">
        <x:v>A complete conducting path is required.</x:v>
      </x:c>
      <x:c r="G16" s="38" t="str">
        <x:v>Potential difference drives charge around the circuit.</x:v>
      </x:c>
      <x:c r="H16" s="38" t="str">
        <x:v>Closing the switch completes the circuit; the supply establishes a potential difference and charge flows through the element.</x:v>
      </x:c>
      <x:c r="I16" s="38" t="str">
        <x:v>closed circuit + pd → current</x:v>
      </x:c>
      <x:c r="J16" s="38" t="str">
        <x:v>The switch does not create charge.</x:v>
      </x:c>
      <x:c r="K16" s="38" t="str">
        <x:v>AO1</x:v>
      </x:c>
      <x:c r="L16" s="43" t="n">
        <x:v>2</x:v>
      </x:c>
      <x:c r="M16" s="38" t="str">
        <x:v>Sequential</x:v>
      </x:c>
      <x:c r="N16" s="38" t="str">
        <x:v>Long text</x:v>
      </x:c>
      <x:c r="O16" s="38" t="str">
        <x:v>Yes</x:v>
      </x:c>
      <x:c r="P16" s="38" t="str">
        <x:v>Yes</x:v>
      </x:c>
      <x:c r="Q16" s="38" t="str">
        <x:v>PHY-CM-02-02</x:v>
      </x:c>
    </x:row>
    <x:row r="17">
      <x:c r="A17" s="39" t="str">
        <x:v>PHY-CM-02-S03</x:v>
      </x:c>
      <x:c r="B17" s="39" t="str">
        <x:v>PHY-CM-02</x:v>
      </x:c>
      <x:c r="C17" s="44" t="n">
        <x:v>3</x:v>
      </x:c>
      <x:c r="D17" s="39" t="str">
        <x:v>Current</x:v>
      </x:c>
      <x:c r="E17" s="39" t="str">
        <x:v>What actually moves through the element?</x:v>
      </x:c>
      <x:c r="F17" s="39" t="str">
        <x:v>Define current precisely.</x:v>
      </x:c>
      <x:c r="G17" s="39" t="str">
        <x:v>Use I = Q/t.</x:v>
      </x:c>
      <x:c r="H17" s="39" t="str">
        <x:v>Charge carriers move; current is the rate of flow of charge, I = Q/t. Charge is not used up.</x:v>
      </x:c>
      <x:c r="I17" s="39" t="str">
        <x:v>charge flow rate → current</x:v>
      </x:c>
      <x:c r="J17" s="39" t="str">
        <x:v>Current is not a flow of energy.</x:v>
      </x:c>
      <x:c r="K17" s="39" t="str">
        <x:v>AO2</x:v>
      </x:c>
      <x:c r="L17" s="44" t="n">
        <x:v>3</x:v>
      </x:c>
      <x:c r="M17" s="39" t="str">
        <x:v>Sequential</x:v>
      </x:c>
      <x:c r="N17" s="39" t="str">
        <x:v>Long text</x:v>
      </x:c>
      <x:c r="O17" s="39" t="str">
        <x:v>Yes</x:v>
      </x:c>
      <x:c r="P17" s="39" t="str">
        <x:v>Yes</x:v>
      </x:c>
      <x:c r="Q17" s="39" t="str">
        <x:v>PHY-CM-02-03</x:v>
      </x:c>
    </x:row>
    <x:row r="18">
      <x:c r="A18" s="38" t="str">
        <x:v>PHY-CM-02-S04</x:v>
      </x:c>
      <x:c r="B18" s="38" t="str">
        <x:v>PHY-CM-02</x:v>
      </x:c>
      <x:c r="C18" s="43" t="n">
        <x:v>4</x:v>
      </x:c>
      <x:c r="D18" s="38" t="str">
        <x:v>Potential difference</x:v>
      </x:c>
      <x:c r="E18" s="38" t="str">
        <x:v>What does 230 V mean for energy transfer?</x:v>
      </x:c>
      <x:c r="F18" s="38" t="str">
        <x:v>Relate energy and charge.</x:v>
      </x:c>
      <x:c r="G18" s="38" t="str">
        <x:v>Use V = E/Q.</x:v>
      </x:c>
      <x:c r="H18" s="38" t="str">
        <x:v>Potential difference is energy transferred per coulomb of charge. At 230 V, 230 J is transferred per coulomb.</x:v>
      </x:c>
      <x:c r="I18" s="38" t="str">
        <x:v>pd → energy per charge</x:v>
      </x:c>
      <x:c r="J18" s="38" t="str">
        <x:v>Voltage is not the amount of charge.</x:v>
      </x:c>
      <x:c r="K18" s="38" t="str">
        <x:v>AO2</x:v>
      </x:c>
      <x:c r="L18" s="43" t="n">
        <x:v>3</x:v>
      </x:c>
      <x:c r="M18" s="38" t="str">
        <x:v>Sequential</x:v>
      </x:c>
      <x:c r="N18" s="38" t="str">
        <x:v>Long text</x:v>
      </x:c>
      <x:c r="O18" s="38" t="str">
        <x:v>Yes</x:v>
      </x:c>
      <x:c r="P18" s="38" t="str">
        <x:v>Yes</x:v>
      </x:c>
      <x:c r="Q18" s="38" t="str">
        <x:v>PHY-CM-02-04</x:v>
      </x:c>
    </x:row>
    <x:row r="19">
      <x:c r="A19" s="39" t="str">
        <x:v>PHY-CM-02-S05</x:v>
      </x:c>
      <x:c r="B19" s="39" t="str">
        <x:v>PHY-CM-02</x:v>
      </x:c>
      <x:c r="C19" s="44" t="n">
        <x:v>5</x:v>
      </x:c>
      <x:c r="D19" s="39" t="str">
        <x:v>Resistance</x:v>
      </x:c>
      <x:c r="E19" s="39" t="str">
        <x:v>Why does the element become hot?</x:v>
      </x:c>
      <x:c r="F19" s="39" t="str">
        <x:v>Use interactions with lattice ions.</x:v>
      </x:c>
      <x:c r="G19" s="39" t="str">
        <x:v>Charges transfer energy to the lattice.</x:v>
      </x:c>
      <x:c r="H19" s="39" t="str">
        <x:v>Moving electrons interact with vibrating lattice ions, transferring energy and increasing the element’s thermal store.</x:v>
      </x:c>
      <x:c r="I19" s="39" t="str">
        <x:v>resistance → lattice heating</x:v>
      </x:c>
      <x:c r="J19" s="39" t="str">
        <x:v>Electrons are not used up in collisions.</x:v>
      </x:c>
      <x:c r="K19" s="39" t="str">
        <x:v>AO2</x:v>
      </x:c>
      <x:c r="L19" s="44" t="n">
        <x:v>3</x:v>
      </x:c>
      <x:c r="M19" s="39" t="str">
        <x:v>Sequential</x:v>
      </x:c>
      <x:c r="N19" s="39" t="str">
        <x:v>Long text</x:v>
      </x:c>
      <x:c r="O19" s="39" t="str">
        <x:v>Yes</x:v>
      </x:c>
      <x:c r="P19" s="39" t="str">
        <x:v>Yes</x:v>
      </x:c>
      <x:c r="Q19" s="39" t="str">
        <x:v>PHY-CM-02-05</x:v>
      </x:c>
    </x:row>
    <x:row r="20">
      <x:c r="A20" s="38" t="str">
        <x:v>PHY-CM-02-S06</x:v>
      </x:c>
      <x:c r="B20" s="38" t="str">
        <x:v>PHY-CM-02</x:v>
      </x:c>
      <x:c r="C20" s="43" t="n">
        <x:v>6</x:v>
      </x:c>
      <x:c r="D20" s="38" t="str">
        <x:v>Temperature effect</x:v>
      </x:c>
      <x:c r="E20" s="38" t="str">
        <x:v>What may happen to element resistance as temperature rises?</x:v>
      </x:c>
      <x:c r="F20" s="38" t="str">
        <x:v>Consider lattice vibrations and collisions.</x:v>
      </x:c>
      <x:c r="G20" s="38" t="str">
        <x:v>More vibration obstructs electron flow.</x:v>
      </x:c>
      <x:c r="H20" s="38" t="str">
        <x:v>Greater lattice vibration causes more interactions with electrons, so resistance of a metallic element increases.</x:v>
      </x:c>
      <x:c r="I20" s="38" t="str">
        <x:v>temperature ↑ → resistance ↑</x:v>
      </x:c>
      <x:c r="J20" s="38" t="str">
        <x:v>Resistance does not always remain constant.</x:v>
      </x:c>
      <x:c r="K20" s="38" t="str">
        <x:v>AO2</x:v>
      </x:c>
      <x:c r="L20" s="43" t="n">
        <x:v>3</x:v>
      </x:c>
      <x:c r="M20" s="38" t="str">
        <x:v>Sequential</x:v>
      </x:c>
      <x:c r="N20" s="38" t="str">
        <x:v>Long text</x:v>
      </x:c>
      <x:c r="O20" s="38" t="str">
        <x:v>Yes</x:v>
      </x:c>
      <x:c r="P20" s="38" t="str">
        <x:v>Yes</x:v>
      </x:c>
      <x:c r="Q20" s="38" t="str">
        <x:v>PHY-CM-02-06</x:v>
      </x:c>
    </x:row>
    <x:row r="21">
      <x:c r="A21" s="39" t="str">
        <x:v>PHY-CM-02-S07</x:v>
      </x:c>
      <x:c r="B21" s="39" t="str">
        <x:v>PHY-CM-02</x:v>
      </x:c>
      <x:c r="C21" s="44" t="n">
        <x:v>7</x:v>
      </x:c>
      <x:c r="D21" s="39" t="str">
        <x:v>Power</x:v>
      </x:c>
      <x:c r="E21" s="39" t="str">
        <x:v>Why does a 3.0 kW kettle heat quickly?</x:v>
      </x:c>
      <x:c r="F21" s="39" t="str">
        <x:v>Power is energy per second.</x:v>
      </x:c>
      <x:c r="G21" s="39" t="str">
        <x:v>Use P = VI or P = E/t.</x:v>
      </x:c>
      <x:c r="H21" s="39" t="str">
        <x:v>A 3.0 kW kettle transfers 3000 J each second. High P = VI means rapid energy transfer.</x:v>
      </x:c>
      <x:c r="I21" s="39" t="str">
        <x:v>high power → fast transfer</x:v>
      </x:c>
      <x:c r="J21" s="39" t="str">
        <x:v>kW must be converted to W in calculations.</x:v>
      </x:c>
      <x:c r="K21" s="39" t="str">
        <x:v>AO2</x:v>
      </x:c>
      <x:c r="L21" s="44" t="n">
        <x:v>3</x:v>
      </x:c>
      <x:c r="M21" s="39" t="str">
        <x:v>Sequential</x:v>
      </x:c>
      <x:c r="N21" s="39" t="str">
        <x:v>Long text</x:v>
      </x:c>
      <x:c r="O21" s="39" t="str">
        <x:v>Yes</x:v>
      </x:c>
      <x:c r="P21" s="39" t="str">
        <x:v>Yes</x:v>
      </x:c>
      <x:c r="Q21" s="39" t="str">
        <x:v>PHY-CM-02-07</x:v>
      </x:c>
    </x:row>
    <x:row r="22">
      <x:c r="A22" s="38" t="str">
        <x:v>PHY-CM-02-S08</x:v>
      </x:c>
      <x:c r="B22" s="38" t="str">
        <x:v>PHY-CM-02</x:v>
      </x:c>
      <x:c r="C22" s="43" t="n">
        <x:v>8</x:v>
      </x:c>
      <x:c r="D22" s="38" t="str">
        <x:v>Energy to water</x:v>
      </x:c>
      <x:c r="E22" s="38" t="str">
        <x:v>How much energy is transferred in a time t?</x:v>
      </x:c>
      <x:c r="F22" s="38" t="str">
        <x:v>Use the power and time.</x:v>
      </x:c>
      <x:c r="G22" s="38" t="str">
        <x:v>Write formula, insert, calculate, include unit.</x:v>
      </x:c>
      <x:c r="H22" s="38" t="str">
        <x:v>E = Pt. Insert power in watts and time in seconds; the answer is in joules.</x:v>
      </x:c>
      <x:c r="I22" s="38" t="str">
        <x:v>power × time → energy</x:v>
      </x:c>
      <x:c r="J22" s="38" t="str">
        <x:v>Do not use minutes without converting to seconds.</x:v>
      </x:c>
      <x:c r="K22" s="38" t="str">
        <x:v>AO2</x:v>
      </x:c>
      <x:c r="L22" s="43" t="n">
        <x:v>3</x:v>
      </x:c>
      <x:c r="M22" s="38" t="str">
        <x:v>Sequential</x:v>
      </x:c>
      <x:c r="N22" s="38" t="str">
        <x:v>Long text</x:v>
      </x:c>
      <x:c r="O22" s="38" t="str">
        <x:v>Yes</x:v>
      </x:c>
      <x:c r="P22" s="38" t="str">
        <x:v>Yes</x:v>
      </x:c>
      <x:c r="Q22" s="38" t="str">
        <x:v>PHY-CM-02-08</x:v>
      </x:c>
    </x:row>
    <x:row r="23">
      <x:c r="A23" s="39" t="str">
        <x:v>PHY-CM-02-S09</x:v>
      </x:c>
      <x:c r="B23" s="39" t="str">
        <x:v>PHY-CM-02</x:v>
      </x:c>
      <x:c r="C23" s="44" t="n">
        <x:v>9</x:v>
      </x:c>
      <x:c r="D23" s="39" t="str">
        <x:v>Water heating</x:v>
      </x:c>
      <x:c r="E23" s="39" t="str">
        <x:v>How does a hot element make all the water hotter?</x:v>
      </x:c>
      <x:c r="F23" s="39" t="str">
        <x:v>Connect conduction and convection.</x:v>
      </x:c>
      <x:c r="G23" s="39" t="str">
        <x:v>Warm, less-dense water rises.</x:v>
      </x:c>
      <x:c r="H23" s="39" t="str">
        <x:v>Energy transfers from element to nearby water by heating; convection currents circulate water as warmer, less-dense water rises and cooler water sinks.</x:v>
      </x:c>
      <x:c r="I23" s="39" t="str">
        <x:v>element → water → convection</x:v>
      </x:c>
      <x:c r="J23" s="39" t="str">
        <x:v>Convection is bulk movement in fluids, not particle-to-particle conduction alone.</x:v>
      </x:c>
      <x:c r="K23" s="39" t="str">
        <x:v>AO3</x:v>
      </x:c>
      <x:c r="L23" s="44" t="n">
        <x:v>3</x:v>
      </x:c>
      <x:c r="M23" s="39" t="str">
        <x:v>Sequential</x:v>
      </x:c>
      <x:c r="N23" s="39" t="str">
        <x:v>Long text</x:v>
      </x:c>
      <x:c r="O23" s="39" t="str">
        <x:v>Yes</x:v>
      </x:c>
      <x:c r="P23" s="39" t="str">
        <x:v>Yes</x:v>
      </x:c>
      <x:c r="Q23" s="39" t="str">
        <x:v>PHY-CM-02-09</x:v>
      </x:c>
    </x:row>
    <x:row r="24">
      <x:c r="A24" s="38" t="str">
        <x:v>PHY-CM-02-S10</x:v>
      </x:c>
      <x:c r="B24" s="38" t="str">
        <x:v>PHY-CM-02</x:v>
      </x:c>
      <x:c r="C24" s="43" t="n">
        <x:v>10</x:v>
      </x:c>
      <x:c r="D24" s="38" t="str">
        <x:v>Fault protection</x:v>
      </x:c>
      <x:c r="E24" s="38" t="str">
        <x:v>What if the live wire touches a metal case?</x:v>
      </x:c>
      <x:c r="F24" s="38" t="str">
        <x:v>Trace fault current through earth and protection device.</x:v>
      </x:c>
      <x:c r="G24" s="38" t="str">
        <x:v>A large current should disconnect the supply.</x:v>
      </x:c>
      <x:c r="H24" s="38" t="str">
        <x:v>The earth wire provides a low-resistance path, producing a large fault current that melts the fuse or trips a circuit breaker, disconnecting the live supply.</x:v>
      </x:c>
      <x:c r="I24" s="38" t="str">
        <x:v>earth path → large current → disconnection</x:v>
      </x:c>
      <x:c r="J24" s="38" t="str">
        <x:v>The earth wire normally carries no current.</x:v>
      </x:c>
      <x:c r="K24" s="38" t="str">
        <x:v>AO2</x:v>
      </x:c>
      <x:c r="L24" s="43" t="n">
        <x:v>4</x:v>
      </x:c>
      <x:c r="M24" s="38" t="str">
        <x:v>Sequential</x:v>
      </x:c>
      <x:c r="N24" s="38" t="str">
        <x:v>Long text</x:v>
      </x:c>
      <x:c r="O24" s="38" t="str">
        <x:v>Yes</x:v>
      </x:c>
      <x:c r="P24" s="38" t="str">
        <x:v>Yes</x:v>
      </x:c>
      <x:c r="Q24" s="38" t="str">
        <x:v>PHY-CM-02-10</x:v>
      </x:c>
    </x:row>
    <x:row r="25">
      <x:c r="A25" s="39" t="str">
        <x:v>PHY-CM-03-S01</x:v>
      </x:c>
      <x:c r="B25" s="39" t="str">
        <x:v>PHY-CM-03</x:v>
      </x:c>
      <x:c r="C25" s="44" t="n">
        <x:v>1</x:v>
      </x:c>
      <x:c r="D25" s="39" t="str">
        <x:v>States</x:v>
      </x:c>
      <x:c r="E25" s="39" t="str">
        <x:v>How do particles differ in solid food, liquid water and steam?</x:v>
      </x:c>
      <x:c r="F25" s="39" t="str">
        <x:v>Compare arrangement, motion and forces.</x:v>
      </x:c>
      <x:c r="G25" s="39" t="str">
        <x:v>Gas particles are widely separated.</x:v>
      </x:c>
      <x:c r="H25" s="39" t="str">
        <x:v>Solid particles vibrate in fixed positions; liquid particles remain close but move past one another; gas particles move rapidly and randomly far apart.</x:v>
      </x:c>
      <x:c r="I25" s="39" t="str">
        <x:v>arrangement + motion → state</x:v>
      </x:c>
      <x:c r="J25" s="39" t="str">
        <x:v>Particles themselves do not expand during heating.</x:v>
      </x:c>
      <x:c r="K25" s="39" t="str">
        <x:v>AO1</x:v>
      </x:c>
      <x:c r="L25" s="44" t="n">
        <x:v>2</x:v>
      </x:c>
      <x:c r="M25" s="39" t="str">
        <x:v>Sequential</x:v>
      </x:c>
      <x:c r="N25" s="39" t="str">
        <x:v>Long text</x:v>
      </x:c>
      <x:c r="O25" s="39" t="str">
        <x:v>Yes</x:v>
      </x:c>
      <x:c r="P25" s="39" t="str">
        <x:v>Yes</x:v>
      </x:c>
      <x:c r="Q25" s="39" t="str">
        <x:v>PHY-CM-03-01</x:v>
      </x:c>
    </x:row>
    <x:row r="26">
      <x:c r="A26" s="38" t="str">
        <x:v>PHY-CM-03-S02</x:v>
      </x:c>
      <x:c r="B26" s="38" t="str">
        <x:v>PHY-CM-03</x:v>
      </x:c>
      <x:c r="C26" s="43" t="n">
        <x:v>2</x:v>
      </x:c>
      <x:c r="D26" s="38" t="str">
        <x:v>Density</x:v>
      </x:c>
      <x:c r="E26" s="38" t="str">
        <x:v>Why is steam much less dense than water?</x:v>
      </x:c>
      <x:c r="F26" s="38" t="str">
        <x:v>Use ρ = m/V and particle spacing.</x:v>
      </x:c>
      <x:c r="G26" s="38" t="str">
        <x:v>The same mass occupies a larger volume.</x:v>
      </x:c>
      <x:c r="H26" s="38" t="str">
        <x:v>Steam particles are much farther apart, so a given mass occupies a much larger volume and has lower density. ρ = m/V.</x:v>
      </x:c>
      <x:c r="I26" s="38" t="str">
        <x:v>particle spacing → density</x:v>
      </x:c>
      <x:c r="J26" s="38" t="str">
        <x:v>Low density does not mean each molecule has less mass.</x:v>
      </x:c>
      <x:c r="K26" s="38" t="str">
        <x:v>AO1</x:v>
      </x:c>
      <x:c r="L26" s="43" t="n">
        <x:v>2</x:v>
      </x:c>
      <x:c r="M26" s="38" t="str">
        <x:v>Sequential</x:v>
      </x:c>
      <x:c r="N26" s="38" t="str">
        <x:v>Long text</x:v>
      </x:c>
      <x:c r="O26" s="38" t="str">
        <x:v>Yes</x:v>
      </x:c>
      <x:c r="P26" s="38" t="str">
        <x:v>Yes</x:v>
      </x:c>
      <x:c r="Q26" s="38" t="str">
        <x:v>PHY-CM-03-02</x:v>
      </x:c>
    </x:row>
    <x:row r="27">
      <x:c r="A27" s="39" t="str">
        <x:v>PHY-CM-03-S03</x:v>
      </x:c>
      <x:c r="B27" s="39" t="str">
        <x:v>PHY-CM-03</x:v>
      </x:c>
      <x:c r="C27" s="44" t="n">
        <x:v>3</x:v>
      </x:c>
      <x:c r="D27" s="39" t="str">
        <x:v>Internal energy</x:v>
      </x:c>
      <x:c r="E27" s="39" t="str">
        <x:v>What changes when the cooker is heated?</x:v>
      </x:c>
      <x:c r="F27" s="39" t="str">
        <x:v>Internal energy includes two particle stores.</x:v>
      </x:c>
      <x:c r="G27" s="39" t="str">
        <x:v>Temperature tracks average kinetic energy.</x:v>
      </x:c>
      <x:c r="H27" s="39" t="str">
        <x:v>Heating increases internal energy: particle kinetic energy rises as temperature rises, and potential energy may rise during state change.</x:v>
      </x:c>
      <x:c r="I27" s="39" t="str">
        <x:v>heating → internal energy</x:v>
      </x:c>
      <x:c r="J27" s="39" t="str">
        <x:v>Temperature is not total internal energy.</x:v>
      </x:c>
      <x:c r="K27" s="39" t="str">
        <x:v>AO2</x:v>
      </x:c>
      <x:c r="L27" s="44" t="n">
        <x:v>3</x:v>
      </x:c>
      <x:c r="M27" s="39" t="str">
        <x:v>Sequential</x:v>
      </x:c>
      <x:c r="N27" s="39" t="str">
        <x:v>Long text</x:v>
      </x:c>
      <x:c r="O27" s="39" t="str">
        <x:v>Yes</x:v>
      </x:c>
      <x:c r="P27" s="39" t="str">
        <x:v>Yes</x:v>
      </x:c>
      <x:c r="Q27" s="39" t="str">
        <x:v>PHY-CM-03-03</x:v>
      </x:c>
    </x:row>
    <x:row r="28">
      <x:c r="A28" s="38" t="str">
        <x:v>PHY-CM-03-S04</x:v>
      </x:c>
      <x:c r="B28" s="38" t="str">
        <x:v>PHY-CM-03</x:v>
      </x:c>
      <x:c r="C28" s="43" t="n">
        <x:v>4</x:v>
      </x:c>
      <x:c r="D28" s="38" t="str">
        <x:v>Specific heat capacity</x:v>
      </x:c>
      <x:c r="E28" s="38" t="str">
        <x:v>How is energy needed for a temperature rise calculated?</x:v>
      </x:c>
      <x:c r="F28" s="38" t="str">
        <x:v>Use mass, c and temperature change.</x:v>
      </x:c>
      <x:c r="G28" s="38" t="str">
        <x:v>Keep mass in kg.</x:v>
      </x:c>
      <x:c r="H28" s="38" t="str">
        <x:v>ΔE = mcΔθ. Insert mass, specific heat capacity and temperature change; answer in joules.</x:v>
      </x:c>
      <x:c r="I28" s="38" t="str">
        <x:v>mass + c + ΔT → energy</x:v>
      </x:c>
      <x:c r="J28" s="38" t="str">
        <x:v>Use temperature change, not final temperature.</x:v>
      </x:c>
      <x:c r="K28" s="38" t="str">
        <x:v>AO2</x:v>
      </x:c>
      <x:c r="L28" s="43" t="n">
        <x:v>3</x:v>
      </x:c>
      <x:c r="M28" s="38" t="str">
        <x:v>Sequential</x:v>
      </x:c>
      <x:c r="N28" s="38" t="str">
        <x:v>Long text</x:v>
      </x:c>
      <x:c r="O28" s="38" t="str">
        <x:v>Yes</x:v>
      </x:c>
      <x:c r="P28" s="38" t="str">
        <x:v>Yes</x:v>
      </x:c>
      <x:c r="Q28" s="38" t="str">
        <x:v>PHY-CM-03-04</x:v>
      </x:c>
    </x:row>
    <x:row r="29">
      <x:c r="A29" s="39" t="str">
        <x:v>PHY-CM-03-S05</x:v>
      </x:c>
      <x:c r="B29" s="39" t="str">
        <x:v>PHY-CM-03</x:v>
      </x:c>
      <x:c r="C29" s="44" t="n">
        <x:v>5</x:v>
      </x:c>
      <x:c r="D29" s="39" t="str">
        <x:v>Boiling</x:v>
      </x:c>
      <x:c r="E29" s="39" t="str">
        <x:v>Why can energy enter while temperature stays constant?</x:v>
      </x:c>
      <x:c r="F29" s="39" t="str">
        <x:v>Focus on potential rather than kinetic energy.</x:v>
      </x:c>
      <x:c r="G29" s="39" t="str">
        <x:v>Particles separate against attractions.</x:v>
      </x:c>
      <x:c r="H29" s="39" t="str">
        <x:v>During boiling, energy increases particle potential energy to overcome attractions, so average kinetic energy and temperature remain constant.</x:v>
      </x:c>
      <x:c r="I29" s="39" t="str">
        <x:v>latent heating → separation</x:v>
      </x:c>
      <x:c r="J29" s="39" t="str">
        <x:v>Particles do not stop moving during boiling.</x:v>
      </x:c>
      <x:c r="K29" s="39" t="str">
        <x:v>AO2</x:v>
      </x:c>
      <x:c r="L29" s="44" t="n">
        <x:v>3</x:v>
      </x:c>
      <x:c r="M29" s="39" t="str">
        <x:v>Sequential</x:v>
      </x:c>
      <x:c r="N29" s="39" t="str">
        <x:v>Long text</x:v>
      </x:c>
      <x:c r="O29" s="39" t="str">
        <x:v>Yes</x:v>
      </x:c>
      <x:c r="P29" s="39" t="str">
        <x:v>Yes</x:v>
      </x:c>
      <x:c r="Q29" s="39" t="str">
        <x:v>PHY-CM-03-05</x:v>
      </x:c>
    </x:row>
    <x:row r="30">
      <x:c r="A30" s="38" t="str">
        <x:v>PHY-CM-03-S06</x:v>
      </x:c>
      <x:c r="B30" s="38" t="str">
        <x:v>PHY-CM-03</x:v>
      </x:c>
      <x:c r="C30" s="43" t="n">
        <x:v>6</x:v>
      </x:c>
      <x:c r="D30" s="38" t="str">
        <x:v>Latent heat</x:v>
      </x:c>
      <x:c r="E30" s="38" t="str">
        <x:v>How is energy for boiling calculated?</x:v>
      </x:c>
      <x:c r="F30" s="38" t="str">
        <x:v>Use mass and specific latent heat.</x:v>
      </x:c>
      <x:c r="G30" s="38" t="str">
        <x:v>Use E = mL.</x:v>
      </x:c>
      <x:c r="H30" s="38" t="str">
        <x:v>E = mL. Insert mass in kg and specific latent heat in J/kg; answer in joules.</x:v>
      </x:c>
      <x:c r="I30" s="38" t="str">
        <x:v>mass × latent heat → energy</x:v>
      </x:c>
      <x:c r="J30" s="38" t="str">
        <x:v>Specific latent heat is not specific heat capacity.</x:v>
      </x:c>
      <x:c r="K30" s="38" t="str">
        <x:v>AO2</x:v>
      </x:c>
      <x:c r="L30" s="43" t="n">
        <x:v>3</x:v>
      </x:c>
      <x:c r="M30" s="38" t="str">
        <x:v>Sequential</x:v>
      </x:c>
      <x:c r="N30" s="38" t="str">
        <x:v>Long text</x:v>
      </x:c>
      <x:c r="O30" s="38" t="str">
        <x:v>Yes</x:v>
      </x:c>
      <x:c r="P30" s="38" t="str">
        <x:v>Yes</x:v>
      </x:c>
      <x:c r="Q30" s="38" t="str">
        <x:v>PHY-CM-03-06</x:v>
      </x:c>
    </x:row>
    <x:row r="31">
      <x:c r="A31" s="39" t="str">
        <x:v>PHY-CM-03-S07</x:v>
      </x:c>
      <x:c r="B31" s="39" t="str">
        <x:v>PHY-CM-03</x:v>
      </x:c>
      <x:c r="C31" s="44" t="n">
        <x:v>7</x:v>
      </x:c>
      <x:c r="D31" s="39" t="str">
        <x:v>Gas pressure</x:v>
      </x:c>
      <x:c r="E31" s="39" t="str">
        <x:v>Why does steam exert pressure?</x:v>
      </x:c>
      <x:c r="F31" s="39" t="str">
        <x:v>Use particle collisions with walls.</x:v>
      </x:c>
      <x:c r="G31" s="39" t="str">
        <x:v>Collisions change particle momentum.</x:v>
      </x:c>
      <x:c r="H31" s="39" t="str">
        <x:v>Randomly moving particles collide with the walls and exert forces; force per unit area produces pressure.</x:v>
      </x:c>
      <x:c r="I31" s="39" t="str">
        <x:v>collisions → force/area → pressure</x:v>
      </x:c>
      <x:c r="J31" s="39" t="str">
        <x:v>Pressure is not caused by particles simply “taking up space”.</x:v>
      </x:c>
      <x:c r="K31" s="39" t="str">
        <x:v>AO2</x:v>
      </x:c>
      <x:c r="L31" s="44" t="n">
        <x:v>3</x:v>
      </x:c>
      <x:c r="M31" s="39" t="str">
        <x:v>Sequential</x:v>
      </x:c>
      <x:c r="N31" s="39" t="str">
        <x:v>Long text</x:v>
      </x:c>
      <x:c r="O31" s="39" t="str">
        <x:v>Yes</x:v>
      </x:c>
      <x:c r="P31" s="39" t="str">
        <x:v>Yes</x:v>
      </x:c>
      <x:c r="Q31" s="39" t="str">
        <x:v>PHY-CM-03-07</x:v>
      </x:c>
    </x:row>
    <x:row r="32">
      <x:c r="A32" s="38" t="str">
        <x:v>PHY-CM-03-S08</x:v>
      </x:c>
      <x:c r="B32" s="38" t="str">
        <x:v>PHY-CM-03</x:v>
      </x:c>
      <x:c r="C32" s="43" t="n">
        <x:v>8</x:v>
      </x:c>
      <x:c r="D32" s="38" t="str">
        <x:v>Heating gas</x:v>
      </x:c>
      <x:c r="E32" s="38" t="str">
        <x:v>Why does pressure rise when a sealed cooker gets hotter?</x:v>
      </x:c>
      <x:c r="F32" s="38" t="str">
        <x:v>Volume is nearly fixed.</x:v>
      </x:c>
      <x:c r="G32" s="38" t="str">
        <x:v>Particles collide faster and more often.</x:v>
      </x:c>
      <x:c r="H32" s="38" t="str">
        <x:v>Higher temperature means greater average kinetic energy, so collisions with walls are more frequent and forceful, raising pressure.</x:v>
      </x:c>
      <x:c r="I32" s="38" t="str">
        <x:v>temperature ↑ → collision effect ↑ → pressure ↑</x:v>
      </x:c>
      <x:c r="J32" s="38" t="str">
        <x:v>Do not say there are more particles unless mass is added.</x:v>
      </x:c>
      <x:c r="K32" s="38" t="str">
        <x:v>AO2</x:v>
      </x:c>
      <x:c r="L32" s="43" t="n">
        <x:v>3</x:v>
      </x:c>
      <x:c r="M32" s="38" t="str">
        <x:v>Sequential</x:v>
      </x:c>
      <x:c r="N32" s="38" t="str">
        <x:v>Long text</x:v>
      </x:c>
      <x:c r="O32" s="38" t="str">
        <x:v>Yes</x:v>
      </x:c>
      <x:c r="P32" s="38" t="str">
        <x:v>Yes</x:v>
      </x:c>
      <x:c r="Q32" s="38" t="str">
        <x:v>PHY-CM-03-08</x:v>
      </x:c>
    </x:row>
    <x:row r="33">
      <x:c r="A33" s="39" t="str">
        <x:v>PHY-CM-03-S09</x:v>
      </x:c>
      <x:c r="B33" s="39" t="str">
        <x:v>PHY-CM-03</x:v>
      </x:c>
      <x:c r="C33" s="44" t="n">
        <x:v>9</x:v>
      </x:c>
      <x:c r="D33" s="39" t="str">
        <x:v>Volume relation</x:v>
      </x:c>
      <x:c r="E33" s="39" t="str">
        <x:v>What happens if gas volume decreases at constant temperature?</x:v>
      </x:c>
      <x:c r="F33" s="39" t="str">
        <x:v>Apply pV = constant for fixed mass.</x:v>
      </x:c>
      <x:c r="G33" s="39" t="str">
        <x:v>Collision frequency per wall area rises.</x:v>
      </x:c>
      <x:c r="H33" s="39" t="str">
        <x:v>Pressure increases as volume decreases; p₁V₁ = p₂V₂ for a fixed mass at constant temperature.</x:v>
      </x:c>
      <x:c r="I33" s="39" t="str">
        <x:v>volume ↓ → pressure ↑</x:v>
      </x:c>
      <x:c r="J33" s="39" t="str">
        <x:v>This relationship assumes constant temperature.</x:v>
      </x:c>
      <x:c r="K33" s="39" t="str">
        <x:v>AO3</x:v>
      </x:c>
      <x:c r="L33" s="44" t="n">
        <x:v>3</x:v>
      </x:c>
      <x:c r="M33" s="39" t="str">
        <x:v>Sequential</x:v>
      </x:c>
      <x:c r="N33" s="39" t="str">
        <x:v>Long text</x:v>
      </x:c>
      <x:c r="O33" s="39" t="str">
        <x:v>Yes</x:v>
      </x:c>
      <x:c r="P33" s="39" t="str">
        <x:v>Yes</x:v>
      </x:c>
      <x:c r="Q33" s="39" t="str">
        <x:v>PHY-CM-03-09</x:v>
      </x:c>
    </x:row>
    <x:row r="34">
      <x:c r="A34" s="38" t="str">
        <x:v>PHY-CM-03-S10</x:v>
      </x:c>
      <x:c r="B34" s="38" t="str">
        <x:v>PHY-CM-03</x:v>
      </x:c>
      <x:c r="C34" s="43" t="n">
        <x:v>10</x:v>
      </x:c>
      <x:c r="D34" s="38" t="str">
        <x:v>Safety and cooling</x:v>
      </x:c>
      <x:c r="E34" s="38" t="str">
        <x:v>Why is a valve needed and what happens on cooling?</x:v>
      </x:c>
      <x:c r="F34" s="38" t="str">
        <x:v>Connect pressure relief and condensation.</x:v>
      </x:c>
      <x:c r="G34" s="38" t="str">
        <x:v>Condensation transfers latent energy out.</x:v>
      </x:c>
      <x:c r="H34" s="38" t="str">
        <x:v>The valve releases steam before pressure becomes unsafe. On cooling, particles lose internal energy and steam condenses, transferring latent energy to the surroundings.</x:v>
      </x:c>
      <x:c r="I34" s="38" t="str">
        <x:v>pressure limit + cooling → safety</x:v>
      </x:c>
      <x:c r="J34" s="38" t="str">
        <x:v>Opening a hot cooker suddenly can cause rapid boiling and burns.</x:v>
      </x:c>
      <x:c r="K34" s="38" t="str">
        <x:v>AO2</x:v>
      </x:c>
      <x:c r="L34" s="43" t="n">
        <x:v>4</x:v>
      </x:c>
      <x:c r="M34" s="38" t="str">
        <x:v>Sequential</x:v>
      </x:c>
      <x:c r="N34" s="38" t="str">
        <x:v>Long text</x:v>
      </x:c>
      <x:c r="O34" s="38" t="str">
        <x:v>Yes</x:v>
      </x:c>
      <x:c r="P34" s="38" t="str">
        <x:v>Yes</x:v>
      </x:c>
      <x:c r="Q34" s="38" t="str">
        <x:v>PHY-CM-03-10</x:v>
      </x:c>
    </x:row>
    <x:row r="35">
      <x:c r="A35" s="39" t="str">
        <x:v>PHY-CM-04-S01</x:v>
      </x:c>
      <x:c r="B35" s="39" t="str">
        <x:v>PHY-CM-04</x:v>
      </x:c>
      <x:c r="C35" s="44" t="n">
        <x:v>1</x:v>
      </x:c>
      <x:c r="D35" s="39" t="str">
        <x:v>Atomic structure</x:v>
      </x:c>
      <x:c r="E35" s="39" t="str">
        <x:v>Describe an atom and its nucleus.</x:v>
      </x:c>
      <x:c r="F35" s="39" t="str">
        <x:v>State charges and locations.</x:v>
      </x:c>
      <x:c r="G35" s="39" t="str">
        <x:v>Most mass is in the nucleus.</x:v>
      </x:c>
      <x:c r="H35" s="39" t="str">
        <x:v>A tiny nucleus contains positive protons and neutral neutrons; negative electrons occupy shells around it. Most of the atom is empty space.</x:v>
      </x:c>
      <x:c r="I35" s="39" t="str">
        <x:v>nuclear structure → atom</x:v>
      </x:c>
      <x:c r="J35" s="39" t="str">
        <x:v>Electrons are not inside the nucleus.</x:v>
      </x:c>
      <x:c r="K35" s="39" t="str">
        <x:v>AO1</x:v>
      </x:c>
      <x:c r="L35" s="44" t="n">
        <x:v>2</x:v>
      </x:c>
      <x:c r="M35" s="39" t="str">
        <x:v>Sequential</x:v>
      </x:c>
      <x:c r="N35" s="39" t="str">
        <x:v>Long text</x:v>
      </x:c>
      <x:c r="O35" s="39" t="str">
        <x:v>Yes</x:v>
      </x:c>
      <x:c r="P35" s="39" t="str">
        <x:v>Yes</x:v>
      </x:c>
      <x:c r="Q35" s="39" t="str">
        <x:v>PHY-CM-04-01</x:v>
      </x:c>
    </x:row>
    <x:row r="36">
      <x:c r="A36" s="38" t="str">
        <x:v>PHY-CM-04-S02</x:v>
      </x:c>
      <x:c r="B36" s="38" t="str">
        <x:v>PHY-CM-04</x:v>
      </x:c>
      <x:c r="C36" s="43" t="n">
        <x:v>2</x:v>
      </x:c>
      <x:c r="D36" s="38" t="str">
        <x:v>Isotopes</x:v>
      </x:c>
      <x:c r="E36" s="38" t="str">
        <x:v>Why can one element have different radioactive forms?</x:v>
      </x:c>
      <x:c r="F36" s="38" t="str">
        <x:v>Keep proton number constant.</x:v>
      </x:c>
      <x:c r="G36" s="38" t="str">
        <x:v>Change neutron number.</x:v>
      </x:c>
      <x:c r="H36" s="38" t="str">
        <x:v>Isotopes have the same number of protons but different numbers of neutrons; some neutron–proton combinations are unstable.</x:v>
      </x:c>
      <x:c r="I36" s="38" t="str">
        <x:v>same protons + different neutrons → isotope</x:v>
      </x:c>
      <x:c r="J36" s="38" t="str">
        <x:v>Changing proton number changes the element.</x:v>
      </x:c>
      <x:c r="K36" s="38" t="str">
        <x:v>AO1</x:v>
      </x:c>
      <x:c r="L36" s="43" t="n">
        <x:v>2</x:v>
      </x:c>
      <x:c r="M36" s="38" t="str">
        <x:v>Sequential</x:v>
      </x:c>
      <x:c r="N36" s="38" t="str">
        <x:v>Long text</x:v>
      </x:c>
      <x:c r="O36" s="38" t="str">
        <x:v>Yes</x:v>
      </x:c>
      <x:c r="P36" s="38" t="str">
        <x:v>Yes</x:v>
      </x:c>
      <x:c r="Q36" s="38" t="str">
        <x:v>PHY-CM-04-02</x:v>
      </x:c>
    </x:row>
    <x:row r="37">
      <x:c r="A37" s="39" t="str">
        <x:v>PHY-CM-04-S03</x:v>
      </x:c>
      <x:c r="B37" s="39" t="str">
        <x:v>PHY-CM-04</x:v>
      </x:c>
      <x:c r="C37" s="44" t="n">
        <x:v>3</x:v>
      </x:c>
      <x:c r="D37" s="39" t="str">
        <x:v>Random decay</x:v>
      </x:c>
      <x:c r="E37" s="39" t="str">
        <x:v>Can staff predict when one nucleus will decay?</x:v>
      </x:c>
      <x:c r="F37" s="39" t="str">
        <x:v>Separate individual randomness from population patterns.</x:v>
      </x:c>
      <x:c r="G37" s="39" t="str">
        <x:v>Large samples show predictable statistics.</x:v>
      </x:c>
      <x:c r="H37" s="39" t="str">
        <x:v>Decay is random for an individual nucleus, but the activity of a large sample follows a predictable exponential pattern.</x:v>
      </x:c>
      <x:c r="I37" s="39" t="str">
        <x:v>random nuclei → predictable population</x:v>
      </x:c>
      <x:c r="J37" s="39" t="str">
        <x:v>Random does not mean activity never follows a pattern.</x:v>
      </x:c>
      <x:c r="K37" s="39" t="str">
        <x:v>AO2</x:v>
      </x:c>
      <x:c r="L37" s="44" t="n">
        <x:v>3</x:v>
      </x:c>
      <x:c r="M37" s="39" t="str">
        <x:v>Sequential</x:v>
      </x:c>
      <x:c r="N37" s="39" t="str">
        <x:v>Long text</x:v>
      </x:c>
      <x:c r="O37" s="39" t="str">
        <x:v>Yes</x:v>
      </x:c>
      <x:c r="P37" s="39" t="str">
        <x:v>Yes</x:v>
      </x:c>
      <x:c r="Q37" s="39" t="str">
        <x:v>PHY-CM-04-03</x:v>
      </x:c>
    </x:row>
    <x:row r="38">
      <x:c r="A38" s="38" t="str">
        <x:v>PHY-CM-04-S04</x:v>
      </x:c>
      <x:c r="B38" s="38" t="str">
        <x:v>PHY-CM-04</x:v>
      </x:c>
      <x:c r="C38" s="43" t="n">
        <x:v>4</x:v>
      </x:c>
      <x:c r="D38" s="38" t="str">
        <x:v>Radiations</x:v>
      </x:c>
      <x:c r="E38" s="38" t="str">
        <x:v>Compare alpha, beta and gamma.</x:v>
      </x:c>
      <x:c r="F38" s="38" t="str">
        <x:v>Use ionising power and penetration.</x:v>
      </x:c>
      <x:c r="G38" s="38" t="str">
        <x:v>Alpha is most ionising and least penetrating.</x:v>
      </x:c>
      <x:c r="H38" s="38" t="str">
        <x:v>Alpha is strongly ionising and stopped by paper/skin; beta is moderate and stopped by thin aluminium; gamma is weakly ionising and reduced by thick lead or concrete.</x:v>
      </x:c>
      <x:c r="I38" s="38" t="str">
        <x:v>radiation type → penetration/ionisation</x:v>
      </x:c>
      <x:c r="J38" s="38" t="str">
        <x:v>Gamma is radiation, not a particle with mass and charge at GCSE level.</x:v>
      </x:c>
      <x:c r="K38" s="38" t="str">
        <x:v>AO2</x:v>
      </x:c>
      <x:c r="L38" s="43" t="n">
        <x:v>3</x:v>
      </x:c>
      <x:c r="M38" s="38" t="str">
        <x:v>Sequential</x:v>
      </x:c>
      <x:c r="N38" s="38" t="str">
        <x:v>Long text</x:v>
      </x:c>
      <x:c r="O38" s="38" t="str">
        <x:v>Yes</x:v>
      </x:c>
      <x:c r="P38" s="38" t="str">
        <x:v>Yes</x:v>
      </x:c>
      <x:c r="Q38" s="38" t="str">
        <x:v>PHY-CM-04-04</x:v>
      </x:c>
    </x:row>
    <x:row r="39">
      <x:c r="A39" s="39" t="str">
        <x:v>PHY-CM-04-S05</x:v>
      </x:c>
      <x:c r="B39" s="39" t="str">
        <x:v>PHY-CM-04</x:v>
      </x:c>
      <x:c r="C39" s="44" t="n">
        <x:v>5</x:v>
      </x:c>
      <x:c r="D39" s="39" t="str">
        <x:v>Nuclear equations</x:v>
      </x:c>
      <x:c r="E39" s="39" t="str">
        <x:v>What must be conserved in a decay equation?</x:v>
      </x:c>
      <x:c r="F39" s="39" t="str">
        <x:v>Track top and bottom numbers.</x:v>
      </x:c>
      <x:c r="G39" s="39" t="str">
        <x:v>Mass number and charge/proton number balance.</x:v>
      </x:c>
      <x:c r="H39" s="39" t="str">
        <x:v>Total mass number and atomic number are conserved. Alpha emission reduces mass number by 4 and atomic number by 2; beta-minus increases atomic number by 1.</x:v>
      </x:c>
      <x:c r="I39" s="39" t="str">
        <x:v>decay → balanced nuclear equation</x:v>
      </x:c>
      <x:c r="J39" s="39" t="str">
        <x:v>Beta emission does not reduce mass number.</x:v>
      </x:c>
      <x:c r="K39" s="39" t="str">
        <x:v>AO2</x:v>
      </x:c>
      <x:c r="L39" s="44" t="n">
        <x:v>3</x:v>
      </x:c>
      <x:c r="M39" s="39" t="str">
        <x:v>Sequential</x:v>
      </x:c>
      <x:c r="N39" s="39" t="str">
        <x:v>Long text</x:v>
      </x:c>
      <x:c r="O39" s="39" t="str">
        <x:v>Yes</x:v>
      </x:c>
      <x:c r="P39" s="39" t="str">
        <x:v>Yes</x:v>
      </x:c>
      <x:c r="Q39" s="39" t="str">
        <x:v>PHY-CM-04-05</x:v>
      </x:c>
    </x:row>
    <x:row r="40">
      <x:c r="A40" s="38" t="str">
        <x:v>PHY-CM-04-S06</x:v>
      </x:c>
      <x:c r="B40" s="38" t="str">
        <x:v>PHY-CM-04</x:v>
      </x:c>
      <x:c r="C40" s="43" t="n">
        <x:v>6</x:v>
      </x:c>
      <x:c r="D40" s="38" t="str">
        <x:v>Activity</x:v>
      </x:c>
      <x:c r="E40" s="38" t="str">
        <x:v>What does activity measure?</x:v>
      </x:c>
      <x:c r="F40" s="38" t="str">
        <x:v>Give unit and meaning.</x:v>
      </x:c>
      <x:c r="G40" s="38" t="str">
        <x:v>Use becquerels.</x:v>
      </x:c>
      <x:c r="H40" s="38" t="str">
        <x:v>Activity is the number of nuclear decays per second and is measured in becquerels (Bq).</x:v>
      </x:c>
      <x:c r="I40" s="38" t="str">
        <x:v>decays/second → activity</x:v>
      </x:c>
      <x:c r="J40" s="38" t="str">
        <x:v>Activity is not the energy of each emission.</x:v>
      </x:c>
      <x:c r="K40" s="38" t="str">
        <x:v>AO2</x:v>
      </x:c>
      <x:c r="L40" s="43" t="n">
        <x:v>3</x:v>
      </x:c>
      <x:c r="M40" s="38" t="str">
        <x:v>Sequential</x:v>
      </x:c>
      <x:c r="N40" s="38" t="str">
        <x:v>Long text</x:v>
      </x:c>
      <x:c r="O40" s="38" t="str">
        <x:v>Yes</x:v>
      </x:c>
      <x:c r="P40" s="38" t="str">
        <x:v>Yes</x:v>
      </x:c>
      <x:c r="Q40" s="38" t="str">
        <x:v>PHY-CM-04-06</x:v>
      </x:c>
    </x:row>
    <x:row r="41">
      <x:c r="A41" s="39" t="str">
        <x:v>PHY-CM-04-S07</x:v>
      </x:c>
      <x:c r="B41" s="39" t="str">
        <x:v>PHY-CM-04</x:v>
      </x:c>
      <x:c r="C41" s="44" t="n">
        <x:v>7</x:v>
      </x:c>
      <x:c r="D41" s="39" t="str">
        <x:v>Half-life</x:v>
      </x:c>
      <x:c r="E41" s="39" t="str">
        <x:v>How can staff predict how activity changes?</x:v>
      </x:c>
      <x:c r="F41" s="39" t="str">
        <x:v>Repeatedly halve after equal intervals.</x:v>
      </x:c>
      <x:c r="G41" s="39" t="str">
        <x:v>Define half-life precisely.</x:v>
      </x:c>
      <x:c r="H41" s="39" t="str">
        <x:v>Half-life is the time for activity, count rate or number of undecayed nuclei to fall to half. After n half-lives, fraction remaining = (½)ⁿ.</x:v>
      </x:c>
      <x:c r="I41" s="39" t="str">
        <x:v>time → repeated halving</x:v>
      </x:c>
      <x:c r="J41" s="39" t="str">
        <x:v>Do not subtract the same fixed amount each half-life.</x:v>
      </x:c>
      <x:c r="K41" s="39" t="str">
        <x:v>AO2</x:v>
      </x:c>
      <x:c r="L41" s="44" t="n">
        <x:v>3</x:v>
      </x:c>
      <x:c r="M41" s="39" t="str">
        <x:v>Sequential</x:v>
      </x:c>
      <x:c r="N41" s="39" t="str">
        <x:v>Long text</x:v>
      </x:c>
      <x:c r="O41" s="39" t="str">
        <x:v>Yes</x:v>
      </x:c>
      <x:c r="P41" s="39" t="str">
        <x:v>Yes</x:v>
      </x:c>
      <x:c r="Q41" s="39" t="str">
        <x:v>PHY-CM-04-07</x:v>
      </x:c>
    </x:row>
    <x:row r="42">
      <x:c r="A42" s="38" t="str">
        <x:v>PHY-CM-04-S08</x:v>
      </x:c>
      <x:c r="B42" s="38" t="str">
        <x:v>PHY-CM-04</x:v>
      </x:c>
      <x:c r="C42" s="43" t="n">
        <x:v>8</x:v>
      </x:c>
      <x:c r="D42" s="38" t="str">
        <x:v>Tracer choice</x:v>
      </x:c>
      <x:c r="E42" s="38" t="str">
        <x:v>What properties make a good medical tracer?</x:v>
      </x:c>
      <x:c r="F42" s="38" t="str">
        <x:v>Balance detection against dose.</x:v>
      </x:c>
      <x:c r="G42" s="38" t="str">
        <x:v>Choose penetrating emission and short-enough half-life.</x:v>
      </x:c>
      <x:c r="H42" s="38" t="str">
        <x:v>A tracer should emit radiation detectable outside the body, often gamma, and have a half-life long enough for the test but short enough to limit dose.</x:v>
      </x:c>
      <x:c r="I42" s="38" t="str">
        <x:v>properties → suitable tracer</x:v>
      </x:c>
      <x:c r="J42" s="38" t="str">
        <x:v>The longest half-life is not automatically safest.</x:v>
      </x:c>
      <x:c r="K42" s="38" t="str">
        <x:v>AO2</x:v>
      </x:c>
      <x:c r="L42" s="43" t="n">
        <x:v>3</x:v>
      </x:c>
      <x:c r="M42" s="38" t="str">
        <x:v>Sequential</x:v>
      </x:c>
      <x:c r="N42" s="38" t="str">
        <x:v>Long text</x:v>
      </x:c>
      <x:c r="O42" s="38" t="str">
        <x:v>Yes</x:v>
      </x:c>
      <x:c r="P42" s="38" t="str">
        <x:v>Yes</x:v>
      </x:c>
      <x:c r="Q42" s="38" t="str">
        <x:v>PHY-CM-04-08</x:v>
      </x:c>
    </x:row>
    <x:row r="43">
      <x:c r="A43" s="39" t="str">
        <x:v>PHY-CM-04-S09</x:v>
      </x:c>
      <x:c r="B43" s="39" t="str">
        <x:v>PHY-CM-04</x:v>
      </x:c>
      <x:c r="C43" s="44" t="n">
        <x:v>9</x:v>
      </x:c>
      <x:c r="D43" s="39" t="str">
        <x:v>Contamination</x:v>
      </x:c>
      <x:c r="E43" s="39" t="str">
        <x:v>How do contamination and irradiation differ?</x:v>
      </x:c>
      <x:c r="F43" s="39" t="str">
        <x:v>Ask whether radioactive material is present on/in the person.</x:v>
      </x:c>
      <x:c r="G43" s="39" t="str">
        <x:v>One can continue after leaving the source.</x:v>
      </x:c>
      <x:c r="H43" s="39" t="str">
        <x:v>Irradiation is exposure to radiation; contamination is radioactive material on or inside the body and may continue irradiating tissues until removed or decayed.</x:v>
      </x:c>
      <x:c r="I43" s="39" t="str">
        <x:v>source location → type of hazard</x:v>
      </x:c>
      <x:c r="J43" s="39" t="str">
        <x:v>An irradiated person does not automatically become radioactive.</x:v>
      </x:c>
      <x:c r="K43" s="39" t="str">
        <x:v>AO3</x:v>
      </x:c>
      <x:c r="L43" s="44" t="n">
        <x:v>3</x:v>
      </x:c>
      <x:c r="M43" s="39" t="str">
        <x:v>Sequential</x:v>
      </x:c>
      <x:c r="N43" s="39" t="str">
        <x:v>Long text</x:v>
      </x:c>
      <x:c r="O43" s="39" t="str">
        <x:v>Yes</x:v>
      </x:c>
      <x:c r="P43" s="39" t="str">
        <x:v>Yes</x:v>
      </x:c>
      <x:c r="Q43" s="39" t="str">
        <x:v>PHY-CM-04-09</x:v>
      </x:c>
    </x:row>
    <x:row r="44">
      <x:c r="A44" s="38" t="str">
        <x:v>PHY-CM-04-S10</x:v>
      </x:c>
      <x:c r="B44" s="38" t="str">
        <x:v>PHY-CM-04</x:v>
      </x:c>
      <x:c r="C44" s="43" t="n">
        <x:v>10</x:v>
      </x:c>
      <x:c r="D44" s="38" t="str">
        <x:v>Dose reduction</x:v>
      </x:c>
      <x:c r="E44" s="38" t="str">
        <x:v>How can staff reduce risk?</x:v>
      </x:c>
      <x:c r="F44" s="38" t="str">
        <x:v>Use time, distance and shielding.</x:v>
      </x:c>
      <x:c r="G44" s="38" t="str">
        <x:v>Also prevent intake or spread of sources.</x:v>
      </x:c>
      <x:c r="H44" s="38" t="str">
        <x:v>Minimise exposure time, maximise distance, use suitable shielding, handle sources remotely, monitor dose and contain sources to prevent contamination.</x:v>
      </x:c>
      <x:c r="I44" s="38" t="str">
        <x:v>control measures → lower dose</x:v>
      </x:c>
      <x:c r="J44" s="38" t="str">
        <x:v>Risk is reduced, not made zero.</x:v>
      </x:c>
      <x:c r="K44" s="38" t="str">
        <x:v>AO2</x:v>
      </x:c>
      <x:c r="L44" s="43" t="n">
        <x:v>4</x:v>
      </x:c>
      <x:c r="M44" s="38" t="str">
        <x:v>Sequential</x:v>
      </x:c>
      <x:c r="N44" s="38" t="str">
        <x:v>Long text</x:v>
      </x:c>
      <x:c r="O44" s="38" t="str">
        <x:v>Yes</x:v>
      </x:c>
      <x:c r="P44" s="38" t="str">
        <x:v>Yes</x:v>
      </x:c>
      <x:c r="Q44" s="38" t="str">
        <x:v>PHY-CM-04-10</x:v>
      </x:c>
    </x:row>
    <x:row r="45">
      <x:c r="A45" s="39" t="str">
        <x:v>PHY-CM-05-S01</x:v>
      </x:c>
      <x:c r="B45" s="39" t="str">
        <x:v>PHY-CM-05</x:v>
      </x:c>
      <x:c r="C45" s="44" t="n">
        <x:v>1</x:v>
      </x:c>
      <x:c r="D45" s="39" t="str">
        <x:v>Vectors</x:v>
      </x:c>
      <x:c r="E45" s="39" t="str">
        <x:v>Why does direction matter when describing car motion and forces?</x:v>
      </x:c>
      <x:c r="F45" s="39" t="str">
        <x:v>Distinguish scalar speed from vector velocity.</x:v>
      </x:c>
      <x:c r="G45" s="39" t="str">
        <x:v>Force and acceleration are vectors.</x:v>
      </x:c>
      <x:c r="H45" s="39" t="str">
        <x:v>Speed has magnitude only; velocity, force, acceleration and momentum have magnitude and direction, so direction changes affect motion.</x:v>
      </x:c>
      <x:c r="I45" s="39" t="str">
        <x:v>direction + magnitude → vector</x:v>
      </x:c>
      <x:c r="J45" s="39" t="str">
        <x:v>Constant speed in a circle still means changing velocity.</x:v>
      </x:c>
      <x:c r="K45" s="39" t="str">
        <x:v>AO1</x:v>
      </x:c>
      <x:c r="L45" s="44" t="n">
        <x:v>2</x:v>
      </x:c>
      <x:c r="M45" s="39" t="str">
        <x:v>Sequential</x:v>
      </x:c>
      <x:c r="N45" s="39" t="str">
        <x:v>Long text</x:v>
      </x:c>
      <x:c r="O45" s="39" t="str">
        <x:v>Yes</x:v>
      </x:c>
      <x:c r="P45" s="39" t="str">
        <x:v>Yes</x:v>
      </x:c>
      <x:c r="Q45" s="39" t="str">
        <x:v>PHY-CM-05-01</x:v>
      </x:c>
    </x:row>
    <x:row r="46">
      <x:c r="A46" s="38" t="str">
        <x:v>PHY-CM-05-S02</x:v>
      </x:c>
      <x:c r="B46" s="38" t="str">
        <x:v>PHY-CM-05</x:v>
      </x:c>
      <x:c r="C46" s="43" t="n">
        <x:v>2</x:v>
      </x:c>
      <x:c r="D46" s="38" t="str">
        <x:v>Resultant force</x:v>
      </x:c>
      <x:c r="E46" s="38" t="str">
        <x:v>What makes the car accelerate?</x:v>
      </x:c>
      <x:c r="F46" s="38" t="str">
        <x:v>Combine all forces before applying Newton’s second law.</x:v>
      </x:c>
      <x:c r="G46" s="38" t="str">
        <x:v>Use F = ma.</x:v>
      </x:c>
      <x:c r="H46" s="38" t="str">
        <x:v>A non-zero resultant force causes acceleration in its direction. F = ma links resultant force, mass and acceleration.</x:v>
      </x:c>
      <x:c r="I46" s="38" t="str">
        <x:v>resultant force → acceleration</x:v>
      </x:c>
      <x:c r="J46" s="38" t="str">
        <x:v>A moving car can have zero resultant force at constant velocity.</x:v>
      </x:c>
      <x:c r="K46" s="38" t="str">
        <x:v>AO1</x:v>
      </x:c>
      <x:c r="L46" s="43" t="n">
        <x:v>2</x:v>
      </x:c>
      <x:c r="M46" s="38" t="str">
        <x:v>Sequential</x:v>
      </x:c>
      <x:c r="N46" s="38" t="str">
        <x:v>Long text</x:v>
      </x:c>
      <x:c r="O46" s="38" t="str">
        <x:v>Yes</x:v>
      </x:c>
      <x:c r="P46" s="38" t="str">
        <x:v>Yes</x:v>
      </x:c>
      <x:c r="Q46" s="38" t="str">
        <x:v>PHY-CM-05-02</x:v>
      </x:c>
    </x:row>
    <x:row r="47">
      <x:c r="A47" s="39" t="str">
        <x:v>PHY-CM-05-S03</x:v>
      </x:c>
      <x:c r="B47" s="39" t="str">
        <x:v>PHY-CM-05</x:v>
      </x:c>
      <x:c r="C47" s="44" t="n">
        <x:v>3</x:v>
      </x:c>
      <x:c r="D47" s="39" t="str">
        <x:v>Interaction pairs</x:v>
      </x:c>
      <x:c r="E47" s="39" t="str">
        <x:v>What is the Newton’s third-law pair when tyres push the road?</x:v>
      </x:c>
      <x:c r="F47" s="39" t="str">
        <x:v>The forces act on different objects.</x:v>
      </x:c>
      <x:c r="G47" s="39" t="str">
        <x:v>Road pushes tyres forward.</x:v>
      </x:c>
      <x:c r="H47" s="39" t="str">
        <x:v>Tyres push backward on the road and the road pushes forward on the tyres with an equal and opposite force.</x:v>
      </x:c>
      <x:c r="I47" s="39" t="str">
        <x:v>interaction pair → propulsion</x:v>
      </x:c>
      <x:c r="J47" s="39" t="str">
        <x:v>Third-law forces do not cancel because they act on different objects.</x:v>
      </x:c>
      <x:c r="K47" s="39" t="str">
        <x:v>AO2</x:v>
      </x:c>
      <x:c r="L47" s="44" t="n">
        <x:v>3</x:v>
      </x:c>
      <x:c r="M47" s="39" t="str">
        <x:v>Sequential</x:v>
      </x:c>
      <x:c r="N47" s="39" t="str">
        <x:v>Long text</x:v>
      </x:c>
      <x:c r="O47" s="39" t="str">
        <x:v>Yes</x:v>
      </x:c>
      <x:c r="P47" s="39" t="str">
        <x:v>Yes</x:v>
      </x:c>
      <x:c r="Q47" s="39" t="str">
        <x:v>PHY-CM-05-03</x:v>
      </x:c>
    </x:row>
    <x:row r="48">
      <x:c r="A48" s="38" t="str">
        <x:v>PHY-CM-05-S04</x:v>
      </x:c>
      <x:c r="B48" s="38" t="str">
        <x:v>PHY-CM-05</x:v>
      </x:c>
      <x:c r="C48" s="43" t="n">
        <x:v>4</x:v>
      </x:c>
      <x:c r="D48" s="38" t="str">
        <x:v>Motion graphs</x:v>
      </x:c>
      <x:c r="E48" s="38" t="str">
        <x:v>How can speed and acceleration be found from graphs?</x:v>
      </x:c>
      <x:c r="F48" s="38" t="str">
        <x:v>Use gradient and area correctly.</x:v>
      </x:c>
      <x:c r="G48" s="38" t="str">
        <x:v>Distance–time gradient differs from velocity–time gradient.</x:v>
      </x:c>
      <x:c r="H48" s="38" t="str">
        <x:v>Gradient of a distance–time graph gives speed; gradient of a velocity–time graph gives acceleration; area under a velocity–time graph gives displacement.</x:v>
      </x:c>
      <x:c r="I48" s="38" t="str">
        <x:v>graph feature → motion quantity</x:v>
      </x:c>
      <x:c r="J48" s="38" t="str">
        <x:v>Area under a distance–time graph is not distance.</x:v>
      </x:c>
      <x:c r="K48" s="38" t="str">
        <x:v>AO2</x:v>
      </x:c>
      <x:c r="L48" s="43" t="n">
        <x:v>3</x:v>
      </x:c>
      <x:c r="M48" s="38" t="str">
        <x:v>Sequential</x:v>
      </x:c>
      <x:c r="N48" s="38" t="str">
        <x:v>Long text</x:v>
      </x:c>
      <x:c r="O48" s="38" t="str">
        <x:v>Yes</x:v>
      </x:c>
      <x:c r="P48" s="38" t="str">
        <x:v>Yes</x:v>
      </x:c>
      <x:c r="Q48" s="38" t="str">
        <x:v>PHY-CM-05-04</x:v>
      </x:c>
    </x:row>
    <x:row r="49">
      <x:c r="A49" s="39" t="str">
        <x:v>PHY-CM-05-S05</x:v>
      </x:c>
      <x:c r="B49" s="39" t="str">
        <x:v>PHY-CM-05</x:v>
      </x:c>
      <x:c r="C49" s="44" t="n">
        <x:v>5</x:v>
      </x:c>
      <x:c r="D49" s="39" t="str">
        <x:v>Reaction phase</x:v>
      </x:c>
      <x:c r="E49" s="39" t="str">
        <x:v>Why does the car continue moving before braking begins?</x:v>
      </x:c>
      <x:c r="F49" s="39" t="str">
        <x:v>No braking force acts during reaction time.</x:v>
      </x:c>
      <x:c r="G49" s="39" t="str">
        <x:v>Thinking distance = speed × reaction time.</x:v>
      </x:c>
      <x:c r="H49" s="39" t="str">
        <x:v>During reaction time the driver has not yet braked, so the car continues at its initial speed. Tiredness, alcohol, drugs and distraction increase reaction time.</x:v>
      </x:c>
      <x:c r="I49" s="39" t="str">
        <x:v>reaction time × speed → thinking distance</x:v>
      </x:c>
      <x:c r="J49" s="39" t="str">
        <x:v>Thinking distance is not caused by weak brakes.</x:v>
      </x:c>
      <x:c r="K49" s="39" t="str">
        <x:v>AO2</x:v>
      </x:c>
      <x:c r="L49" s="44" t="n">
        <x:v>3</x:v>
      </x:c>
      <x:c r="M49" s="39" t="str">
        <x:v>Sequential</x:v>
      </x:c>
      <x:c r="N49" s="39" t="str">
        <x:v>Long text</x:v>
      </x:c>
      <x:c r="O49" s="39" t="str">
        <x:v>Yes</x:v>
      </x:c>
      <x:c r="P49" s="39" t="str">
        <x:v>Yes</x:v>
      </x:c>
      <x:c r="Q49" s="39" t="str">
        <x:v>PHY-CM-05-05</x:v>
      </x:c>
    </x:row>
    <x:row r="50">
      <x:c r="A50" s="38" t="str">
        <x:v>PHY-CM-05-S06</x:v>
      </x:c>
      <x:c r="B50" s="38" t="str">
        <x:v>PHY-CM-05</x:v>
      </x:c>
      <x:c r="C50" s="43" t="n">
        <x:v>6</x:v>
      </x:c>
      <x:c r="D50" s="38" t="str">
        <x:v>Braking distance</x:v>
      </x:c>
      <x:c r="E50" s="38" t="str">
        <x:v>What affects braking distance?</x:v>
      </x:c>
      <x:c r="F50" s="38" t="str">
        <x:v>Consider kinetic energy, grip and braking force.</x:v>
      </x:c>
      <x:c r="G50" s="38" t="str">
        <x:v>Higher speed has a large effect because KE depends on v².</x:v>
      </x:c>
      <x:c r="H50" s="38" t="str">
        <x:v>Greater speed or mass increases kinetic energy; worn tyres/brakes, wet or icy roads reduce braking force, increasing braking distance.</x:v>
      </x:c>
      <x:c r="I50" s="38" t="str">
        <x:v>speed/mass/grip → braking distance</x:v>
      </x:c>
      <x:c r="J50" s="38" t="str">
        <x:v>Doubling speed can more than double braking distance.</x:v>
      </x:c>
      <x:c r="K50" s="38" t="str">
        <x:v>AO2</x:v>
      </x:c>
      <x:c r="L50" s="43" t="n">
        <x:v>3</x:v>
      </x:c>
      <x:c r="M50" s="38" t="str">
        <x:v>Sequential</x:v>
      </x:c>
      <x:c r="N50" s="38" t="str">
        <x:v>Long text</x:v>
      </x:c>
      <x:c r="O50" s="38" t="str">
        <x:v>Yes</x:v>
      </x:c>
      <x:c r="P50" s="38" t="str">
        <x:v>Yes</x:v>
      </x:c>
      <x:c r="Q50" s="38" t="str">
        <x:v>PHY-CM-05-06</x:v>
      </x:c>
    </x:row>
    <x:row r="51">
      <x:c r="A51" s="39" t="str">
        <x:v>PHY-CM-05-S07</x:v>
      </x:c>
      <x:c r="B51" s="39" t="str">
        <x:v>PHY-CM-05</x:v>
      </x:c>
      <x:c r="C51" s="44" t="n">
        <x:v>7</x:v>
      </x:c>
      <x:c r="D51" s="39" t="str">
        <x:v>Work and heating</x:v>
      </x:c>
      <x:c r="E51" s="39" t="str">
        <x:v>Where does the car’s kinetic energy go during braking?</x:v>
      </x:c>
      <x:c r="F51" s="39" t="str">
        <x:v>Friction does work over a distance.</x:v>
      </x:c>
      <x:c r="G51" s="39" t="str">
        <x:v>Thermal stores increase.</x:v>
      </x:c>
      <x:c r="H51" s="39" t="str">
        <x:v>Braking friction does work, transferring energy from the car’s kinetic store to thermal stores of brakes, tyres, road and surroundings.</x:v>
      </x:c>
      <x:c r="I51" s="39" t="str">
        <x:v>braking work → thermal energy</x:v>
      </x:c>
      <x:c r="J51" s="39" t="str">
        <x:v>Energy is not destroyed when the car stops.</x:v>
      </x:c>
      <x:c r="K51" s="39" t="str">
        <x:v>AO2</x:v>
      </x:c>
      <x:c r="L51" s="44" t="n">
        <x:v>3</x:v>
      </x:c>
      <x:c r="M51" s="39" t="str">
        <x:v>Sequential</x:v>
      </x:c>
      <x:c r="N51" s="39" t="str">
        <x:v>Long text</x:v>
      </x:c>
      <x:c r="O51" s="39" t="str">
        <x:v>Yes</x:v>
      </x:c>
      <x:c r="P51" s="39" t="str">
        <x:v>Yes</x:v>
      </x:c>
      <x:c r="Q51" s="39" t="str">
        <x:v>PHY-CM-05-07</x:v>
      </x:c>
    </x:row>
    <x:row r="52">
      <x:c r="A52" s="38" t="str">
        <x:v>PHY-CM-05-S08</x:v>
      </x:c>
      <x:c r="B52" s="38" t="str">
        <x:v>PHY-CM-05</x:v>
      </x:c>
      <x:c r="C52" s="43" t="n">
        <x:v>8</x:v>
      </x:c>
      <x:c r="D52" s="38" t="str">
        <x:v>Momentum</x:v>
      </x:c>
      <x:c r="E52" s="38" t="str">
        <x:v>What quantity must be considered during collision?</x:v>
      </x:c>
      <x:c r="F52" s="38" t="str">
        <x:v>Use p = mv and conservation in a closed system.</x:v>
      </x:c>
      <x:c r="G52" s="38" t="str">
        <x:v>Direction matters.</x:v>
      </x:c>
      <x:c r="H52" s="38" t="str">
        <x:v>Momentum p = mv. Total momentum before and after a collision is conserved in a closed system, with direction represented by signs.</x:v>
      </x:c>
      <x:c r="I52" s="38" t="str">
        <x:v>mass × velocity → momentum</x:v>
      </x:c>
      <x:c r="J52" s="38" t="str">
        <x:v>Kinetic energy is not always conserved in a collision.</x:v>
      </x:c>
      <x:c r="K52" s="38" t="str">
        <x:v>AO2</x:v>
      </x:c>
      <x:c r="L52" s="43" t="n">
        <x:v>3</x:v>
      </x:c>
      <x:c r="M52" s="38" t="str">
        <x:v>Sequential</x:v>
      </x:c>
      <x:c r="N52" s="38" t="str">
        <x:v>Long text</x:v>
      </x:c>
      <x:c r="O52" s="38" t="str">
        <x:v>Yes</x:v>
      </x:c>
      <x:c r="P52" s="38" t="str">
        <x:v>Yes</x:v>
      </x:c>
      <x:c r="Q52" s="38" t="str">
        <x:v>PHY-CM-05-08</x:v>
      </x:c>
    </x:row>
    <x:row r="53">
      <x:c r="A53" s="39" t="str">
        <x:v>PHY-CM-05-S09</x:v>
      </x:c>
      <x:c r="B53" s="39" t="str">
        <x:v>PHY-CM-05</x:v>
      </x:c>
      <x:c r="C53" s="44" t="n">
        <x:v>9</x:v>
      </x:c>
      <x:c r="D53" s="39" t="str">
        <x:v>Force and time</x:v>
      </x:c>
      <x:c r="E53" s="39" t="str">
        <x:v>Why do crumple zones and seat belts reduce injury?</x:v>
      </x:c>
      <x:c r="F53" s="39" t="str">
        <x:v>The same momentum change occurs over a longer time.</x:v>
      </x:c>
      <x:c r="G53" s="39" t="str">
        <x:v>Use F = Δp/Δt.</x:v>
      </x:c>
      <x:c r="H53" s="39" t="str">
        <x:v>They increase stopping time, so the rate of change of momentum and average force are smaller. Crumple zones also transfer energy through deformation.</x:v>
      </x:c>
      <x:c r="I53" s="39" t="str">
        <x:v>stopping time ↑ → force ↓</x:v>
      </x:c>
      <x:c r="J53" s="39" t="str">
        <x:v>Safety features do not prevent momentum changing.</x:v>
      </x:c>
      <x:c r="K53" s="39" t="str">
        <x:v>AO3</x:v>
      </x:c>
      <x:c r="L53" s="44" t="n">
        <x:v>3</x:v>
      </x:c>
      <x:c r="M53" s="39" t="str">
        <x:v>Sequential</x:v>
      </x:c>
      <x:c r="N53" s="39" t="str">
        <x:v>Long text</x:v>
      </x:c>
      <x:c r="O53" s="39" t="str">
        <x:v>Yes</x:v>
      </x:c>
      <x:c r="P53" s="39" t="str">
        <x:v>Yes</x:v>
      </x:c>
      <x:c r="Q53" s="39" t="str">
        <x:v>PHY-CM-05-09</x:v>
      </x:c>
    </x:row>
    <x:row r="54">
      <x:c r="A54" s="41" t="str">
        <x:v>PHY-CM-05-S10</x:v>
      </x:c>
      <x:c r="B54" s="41" t="str">
        <x:v>PHY-CM-05</x:v>
      </x:c>
      <x:c r="C54" s="46" t="n">
        <x:v>10</x:v>
      </x:c>
      <x:c r="D54" s="41" t="str">
        <x:v>Airbags and pressure</x:v>
      </x:c>
      <x:c r="E54" s="41" t="str">
        <x:v>Why does an airbag reduce damage to the body?</x:v>
      </x:c>
      <x:c r="F54" s="41" t="str">
        <x:v>Combine force reduction with contact area.</x:v>
      </x:c>
      <x:c r="G54" s="41" t="str">
        <x:v>Use pressure = force/area.</x:v>
      </x:c>
      <x:c r="H54" s="41" t="str">
        <x:v>It increases stopping time, reducing force, and spreads the remaining force over a larger area, reducing pressure on the body.</x:v>
      </x:c>
      <x:c r="I54" s="41" t="str">
        <x:v>time + area → lower injury risk</x:v>
      </x:c>
      <x:c r="J54" s="41" t="str">
        <x:v>Airbags should be explained using both force and pressure where relevant.</x:v>
      </x:c>
      <x:c r="K54" s="41" t="str">
        <x:v>AO2</x:v>
      </x:c>
      <x:c r="L54" s="46" t="n">
        <x:v>4</x:v>
      </x:c>
      <x:c r="M54" s="41" t="str">
        <x:v>Sequential</x:v>
      </x:c>
      <x:c r="N54" s="41" t="str">
        <x:v>Long text</x:v>
      </x:c>
      <x:c r="O54" s="41" t="str">
        <x:v>Yes</x:v>
      </x:c>
      <x:c r="P54" s="41" t="str">
        <x:v>Yes</x:v>
      </x:c>
      <x:c r="Q54" s="41" t="str">
        <x:v>PHY-CM-05-10</x:v>
      </x:c>
    </x:row>
  </x:sheetData>
  <x:mergeCells>
    <x:mergeCell ref="A1:Q1"/>
    <x:mergeCell ref="A2:H2"/>
  </x:mergeCells>
  <x:pageMargins left="0.7" right="0.7" top="0.75" bottom="0.75" header="0.3" footer="0.3"/>
  <x:tableParts count="1">
    <x:tablePart xmlns:r="http://schemas.openxmlformats.org/officeDocument/2006/relationships" r:id="R3ea233096f47479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15" hidden="0" customWidth="1"/>
    <x:col min="3" max="3" width="8" hidden="0" customWidth="1"/>
    <x:col min="4" max="4" width="24" hidden="0" customWidth="1"/>
    <x:col min="5" max="5" width="42" hidden="0" customWidth="1"/>
    <x:col min="6" max="6" width="65" hidden="0" customWidth="1"/>
    <x:col min="7" max="7" width="11" hidden="0" customWidth="1"/>
    <x:col min="8" max="8" width="12" hidden="0" customWidth="1"/>
    <x:col min="9" max="9" width="40" hidden="0" customWidth="1"/>
    <x:col min="10" max="10" width="50" hidden="0" customWidth="1"/>
    <x:col min="11" max="11" width="13" hidden="0" customWidth="1"/>
    <x:col min="12" max="12" width="13" hidden="0" customWidth="1"/>
  </x:cols>
  <x:sheetData>
    <x:row r="1" ht="34" customHeight="1">
      <x:c r="A1" s="3" t="str">
        <x:v>Connection Map Database</x:v>
      </x:c>
    </x:row>
    <x:row r="2" ht="32" customHeight="1">
      <x:c r="A2" s="6" t="str">
        <x:v>Each row is one independently scoreable causal link. Use after final submission for feedback and visual mapping.</x:v>
      </x:c>
    </x:row>
    <x:row r="4" ht="32" customHeight="1">
      <x:c r="A4" s="30" t="str">
        <x:v>Connection ID</x:v>
      </x:c>
      <x:c r="B4" s="30" t="str">
        <x:v>Challenge ID</x:v>
      </x:c>
      <x:c r="C4" s="30" t="str">
        <x:v>Order</x:v>
      </x:c>
      <x:c r="D4" s="30" t="str">
        <x:v>Concept</x:v>
      </x:c>
      <x:c r="E4" s="30" t="str">
        <x:v>Target Link</x:v>
      </x:c>
      <x:c r="F4" s="30" t="str">
        <x:v>Evidence Required</x:v>
      </x:c>
      <x:c r="G4" s="30" t="str">
        <x:v>Max Points</x:v>
      </x:c>
      <x:c r="H4" s="30" t="str">
        <x:v>Priority</x:v>
      </x:c>
      <x:c r="I4" s="30" t="str">
        <x:v>Success Feedback</x:v>
      </x:c>
      <x:c r="J4" s="30" t="str">
        <x:v>Missing-Connection Feedback</x:v>
      </x:c>
      <x:c r="K4" s="30" t="str">
        <x:v>Student Score</x:v>
      </x:c>
      <x:c r="L4" s="30" t="str">
        <x:v>Mastered?</x:v>
      </x:c>
    </x:row>
    <x:row r="5">
      <x:c r="A5" s="37" t="str">
        <x:v>PHY-CM-01-C01</x:v>
      </x:c>
      <x:c r="B5" s="37" t="str">
        <x:v>PHY-CM-01</x:v>
      </x:c>
      <x:c r="C5" s="37" t="n">
        <x:v>1</x:v>
      </x:c>
      <x:c r="D5" s="37" t="str">
        <x:v>Energy stores</x:v>
      </x:c>
      <x:c r="E5" s="37" t="str">
        <x:v>lifting → gravitational store</x:v>
      </x:c>
      <x:c r="F5" s="37" t="str">
        <x:v>The gravitational potential energy store increases. ΔEₚ = mgh.</x:v>
      </x:c>
      <x:c r="G5" s="42" t="n">
        <x:v>1</x:v>
      </x:c>
      <x:c r="H5" s="37" t="str">
        <x:v>Core</x:v>
      </x:c>
      <x:c r="I5" s="37" t="str">
        <x:v>Connection made: lifting → gravitational store</x:v>
      </x:c>
      <x:c r="J5" s="37" t="str">
        <x:v>Revisit energy stores and explain the causal link, not only the separate facts.</x:v>
      </x:c>
      <x:c r="K5" s="37" t="str"/>
      <x:c r="L5" s="37" t="str">
        <x:f>IF(K5="","",IF(K5&gt;=G5,"Yes","Not yet"))</x:f>
      </x:c>
    </x:row>
    <x:row r="6">
      <x:c r="A6" s="38" t="str">
        <x:v>PHY-CM-01-C02</x:v>
      </x:c>
      <x:c r="B6" s="38" t="str">
        <x:v>PHY-CM-01</x:v>
      </x:c>
      <x:c r="C6" s="38" t="n">
        <x:v>2</x:v>
      </x:c>
      <x:c r="D6" s="38" t="str">
        <x:v>Transfer pathway</x:v>
      </x:c>
      <x:c r="E6" s="38" t="str">
        <x:v>electrical transfer → mechanical work</x:v>
      </x:c>
      <x:c r="F6" s="38" t="str">
        <x:v>Energy is transferred electrically to the motor and mechanically to the train as the motor exerts a force through a distance.</x:v>
      </x:c>
      <x:c r="G6" s="43" t="n">
        <x:v>1</x:v>
      </x:c>
      <x:c r="H6" s="38" t="str">
        <x:v>Core</x:v>
      </x:c>
      <x:c r="I6" s="38" t="str">
        <x:v>Connection made: electrical transfer → mechanical work</x:v>
      </x:c>
      <x:c r="J6" s="38" t="str">
        <x:v>Revisit transfer pathway and explain the causal link, not only the separate facts.</x:v>
      </x:c>
      <x:c r="K6" s="38" t="str"/>
      <x:c r="L6" s="38" t="str">
        <x:f>IF(K6="","",IF(K6&gt;=G6,"Yes","Not yet"))</x:f>
      </x:c>
    </x:row>
    <x:row r="7">
      <x:c r="A7" s="39" t="str">
        <x:v>PHY-CM-01-C03</x:v>
      </x:c>
      <x:c r="B7" s="39" t="str">
        <x:v>PHY-CM-01</x:v>
      </x:c>
      <x:c r="C7" s="39" t="n">
        <x:v>3</x:v>
      </x:c>
      <x:c r="D7" s="39" t="str">
        <x:v>Descent</x:v>
      </x:c>
      <x:c r="E7" s="39" t="str">
        <x:v>GPE decrease → KE increase</x:v>
      </x:c>
      <x:c r="F7" s="39" t="str">
        <x:v>Energy is transferred from the gravitational potential store to the kinetic store; a resultant downhill force accelerates the train.</x:v>
      </x:c>
      <x:c r="G7" s="44" t="n">
        <x:v>1</x:v>
      </x:c>
      <x:c r="H7" s="39" t="str">
        <x:v>Core</x:v>
      </x:c>
      <x:c r="I7" s="39" t="str">
        <x:v>Connection made: GPE decrease → KE increase</x:v>
      </x:c>
      <x:c r="J7" s="39" t="str">
        <x:v>Revisit descent and explain the causal link, not only the separate facts.</x:v>
      </x:c>
      <x:c r="K7" s="39" t="str"/>
      <x:c r="L7" s="39" t="str">
        <x:f>IF(K7="","",IF(K7&gt;=G7,"Yes","Not yet"))</x:f>
      </x:c>
    </x:row>
    <x:row r="8">
      <x:c r="A8" s="38" t="str">
        <x:v>PHY-CM-01-C04</x:v>
      </x:c>
      <x:c r="B8" s="38" t="str">
        <x:v>PHY-CM-01</x:v>
      </x:c>
      <x:c r="C8" s="38" t="n">
        <x:v>4</x:v>
      </x:c>
      <x:c r="D8" s="38" t="str">
        <x:v>Kinetic calculation</x:v>
      </x:c>
      <x:c r="E8" s="38" t="str">
        <x:v>mass + speed → kinetic energy</x:v>
      </x:c>
      <x:c r="F8" s="38" t="str">
        <x:v>Eₖ = ½mv². Insert mass in kg and speed in m/s, square the speed, then give the answer in joules.</x:v>
      </x:c>
      <x:c r="G8" s="43" t="n">
        <x:v>1</x:v>
      </x:c>
      <x:c r="H8" s="38" t="str">
        <x:v>Core</x:v>
      </x:c>
      <x:c r="I8" s="38" t="str">
        <x:v>Connection made: mass + speed → kinetic energy</x:v>
      </x:c>
      <x:c r="J8" s="38" t="str">
        <x:v>Revisit kinetic calculation and explain the causal link, not only the separate facts.</x:v>
      </x:c>
      <x:c r="K8" s="38" t="str"/>
      <x:c r="L8" s="38" t="str">
        <x:f>IF(K8="","",IF(K8&gt;=G8,"Yes","Not yet"))</x:f>
      </x:c>
    </x:row>
    <x:row r="9">
      <x:c r="A9" s="39" t="str">
        <x:v>PHY-CM-01-C05</x:v>
      </x:c>
      <x:c r="B9" s="39" t="str">
        <x:v>PHY-CM-01</x:v>
      </x:c>
      <x:c r="C9" s="39" t="n">
        <x:v>5</x:v>
      </x:c>
      <x:c r="D9" s="39" t="str">
        <x:v>Work done</x:v>
      </x:c>
      <x:c r="E9" s="39" t="str">
        <x:v>force through distance → energy transfer</x:v>
      </x:c>
      <x:c r="F9" s="39" t="str">
        <x:v>Work done = force × distance moved in the force direction. Work done is an energy transfer measured in joules.</x:v>
      </x:c>
      <x:c r="G9" s="44" t="n">
        <x:v>1</x:v>
      </x:c>
      <x:c r="H9" s="39" t="str">
        <x:v>Core</x:v>
      </x:c>
      <x:c r="I9" s="39" t="str">
        <x:v>Connection made: force through distance → energy transfer</x:v>
      </x:c>
      <x:c r="J9" s="39" t="str">
        <x:v>Revisit work done and explain the causal link, not only the separate facts.</x:v>
      </x:c>
      <x:c r="K9" s="39" t="str"/>
      <x:c r="L9" s="39" t="str">
        <x:f>IF(K9="","",IF(K9&gt;=G9,"Yes","Not yet"))</x:f>
      </x:c>
    </x:row>
    <x:row r="10">
      <x:c r="A10" s="38" t="str">
        <x:v>PHY-CM-01-C06</x:v>
      </x:c>
      <x:c r="B10" s="38" t="str">
        <x:v>PHY-CM-01</x:v>
      </x:c>
      <x:c r="C10" s="38" t="n">
        <x:v>6</x:v>
      </x:c>
      <x:c r="D10" s="38" t="str">
        <x:v>Power</x:v>
      </x:c>
      <x:c r="E10" s="38" t="str">
        <x:v>energy ÷ time → power</x:v>
      </x:c>
      <x:c r="F10" s="38" t="str">
        <x:v>The more powerful motor transfers the same energy in less time. Power is the rate of energy transfer and is measured in watts.</x:v>
      </x:c>
      <x:c r="G10" s="43" t="n">
        <x:v>1</x:v>
      </x:c>
      <x:c r="H10" s="38" t="str">
        <x:v>Core</x:v>
      </x:c>
      <x:c r="I10" s="38" t="str">
        <x:v>Connection made: energy ÷ time → power</x:v>
      </x:c>
      <x:c r="J10" s="38" t="str">
        <x:v>Revisit power and explain the causal link, not only the separate facts.</x:v>
      </x:c>
      <x:c r="K10" s="38" t="str"/>
      <x:c r="L10" s="38" t="str">
        <x:f>IF(K10="","",IF(K10&gt;=G10,"Yes","Not yet"))</x:f>
      </x:c>
    </x:row>
    <x:row r="11">
      <x:c r="A11" s="39" t="str">
        <x:v>PHY-CM-01-C07</x:v>
      </x:c>
      <x:c r="B11" s="39" t="str">
        <x:v>PHY-CM-01</x:v>
      </x:c>
      <x:c r="C11" s="39" t="n">
        <x:v>7</x:v>
      </x:c>
      <x:c r="D11" s="39" t="str">
        <x:v>Dissipation</x:v>
      </x:c>
      <x:c r="E11" s="39" t="str">
        <x:v>resistive forces → thermal stores</x:v>
      </x:c>
      <x:c r="F11" s="39" t="str">
        <x:v>Friction and drag transfer energy to thermal stores of wheels, track, air and surroundings, leaving less in useful mechanical stores.</x:v>
      </x:c>
      <x:c r="G11" s="44" t="n">
        <x:v>1</x:v>
      </x:c>
      <x:c r="H11" s="39" t="str">
        <x:v>Core</x:v>
      </x:c>
      <x:c r="I11" s="39" t="str">
        <x:v>Connection made: resistive forces → thermal stores</x:v>
      </x:c>
      <x:c r="J11" s="39" t="str">
        <x:v>Revisit dissipation and explain the causal link, not only the separate facts.</x:v>
      </x:c>
      <x:c r="K11" s="39" t="str"/>
      <x:c r="L11" s="39" t="str">
        <x:f>IF(K11="","",IF(K11&gt;=G11,"Yes","Not yet"))</x:f>
      </x:c>
    </x:row>
    <x:row r="12">
      <x:c r="A12" s="38" t="str">
        <x:v>PHY-CM-01-C08</x:v>
      </x:c>
      <x:c r="B12" s="38" t="str">
        <x:v>PHY-CM-01</x:v>
      </x:c>
      <x:c r="C12" s="38" t="n">
        <x:v>8</x:v>
      </x:c>
      <x:c r="D12" s="38" t="str">
        <x:v>Braking</x:v>
      </x:c>
      <x:c r="E12" s="38" t="str">
        <x:v>braking work → KE decrease</x:v>
      </x:c>
      <x:c r="F12" s="38" t="str">
        <x:v>Braking friction does negative work on the train, reducing its kinetic store and increasing thermal stores until it stops.</x:v>
      </x:c>
      <x:c r="G12" s="43" t="n">
        <x:v>1</x:v>
      </x:c>
      <x:c r="H12" s="38" t="str">
        <x:v>Core</x:v>
      </x:c>
      <x:c r="I12" s="38" t="str">
        <x:v>Connection made: braking work → KE decrease</x:v>
      </x:c>
      <x:c r="J12" s="38" t="str">
        <x:v>Revisit braking and explain the causal link, not only the separate facts.</x:v>
      </x:c>
      <x:c r="K12" s="38" t="str"/>
      <x:c r="L12" s="38" t="str">
        <x:f>IF(K12="","",IF(K12&gt;=G12,"Yes","Not yet"))</x:f>
      </x:c>
    </x:row>
    <x:row r="13">
      <x:c r="A13" s="39" t="str">
        <x:v>PHY-CM-01-C09</x:v>
      </x:c>
      <x:c r="B13" s="39" t="str">
        <x:v>PHY-CM-01</x:v>
      </x:c>
      <x:c r="C13" s="39" t="n">
        <x:v>9</x:v>
      </x:c>
      <x:c r="D13" s="39" t="str">
        <x:v>Efficiency</x:v>
      </x:c>
      <x:c r="E13" s="39" t="str">
        <x:v>useful ÷ total → efficiency</x:v>
      </x:c>
      <x:c r="F13" s="39" t="str">
        <x:v>Efficiency = useful energy output ÷ total energy input (×100% for a percentage).</x:v>
      </x:c>
      <x:c r="G13" s="44" t="n">
        <x:v>1</x:v>
      </x:c>
      <x:c r="H13" s="39" t="str">
        <x:v>Extension</x:v>
      </x:c>
      <x:c r="I13" s="39" t="str">
        <x:v>Connection made: useful ÷ total → efficiency</x:v>
      </x:c>
      <x:c r="J13" s="39" t="str">
        <x:v>Revisit efficiency and explain the causal link, not only the separate facts.</x:v>
      </x:c>
      <x:c r="K13" s="39" t="str"/>
      <x:c r="L13" s="39" t="str">
        <x:f>IF(K13="","",IF(K13&gt;=G13,"Yes","Not yet"))</x:f>
      </x:c>
    </x:row>
    <x:row r="14">
      <x:c r="A14" s="38" t="str">
        <x:v>PHY-CM-01-C10</x:v>
      </x:c>
      <x:c r="B14" s="38" t="str">
        <x:v>PHY-CM-01</x:v>
      </x:c>
      <x:c r="C14" s="38" t="n">
        <x:v>10</x:v>
      </x:c>
      <x:c r="D14" s="38" t="str">
        <x:v>Engineering</x:v>
      </x:c>
      <x:c r="E14" s="38" t="str">
        <x:v>design choice → lower dissipation</x:v>
      </x:c>
      <x:c r="F14" s="38" t="str">
        <x:v>Lubrication reduces friction and streamlining reduces drag, so less energy is transferred to unwanted thermal stores.</x:v>
      </x:c>
      <x:c r="G14" s="43" t="n">
        <x:v>1</x:v>
      </x:c>
      <x:c r="H14" s="38" t="str">
        <x:v>Extension</x:v>
      </x:c>
      <x:c r="I14" s="38" t="str">
        <x:v>Connection made: design choice → lower dissipation</x:v>
      </x:c>
      <x:c r="J14" s="38" t="str">
        <x:v>Revisit engineering and explain the causal link, not only the separate facts.</x:v>
      </x:c>
      <x:c r="K14" s="38" t="str"/>
      <x:c r="L14" s="38" t="str">
        <x:f>IF(K14="","",IF(K14&gt;=G14,"Yes","Not yet"))</x:f>
      </x:c>
    </x:row>
    <x:row r="15">
      <x:c r="A15" s="39" t="str">
        <x:v>PHY-CM-02-C01</x:v>
      </x:c>
      <x:c r="B15" s="39" t="str">
        <x:v>PHY-CM-02</x:v>
      </x:c>
      <x:c r="C15" s="39" t="n">
        <x:v>1</x:v>
      </x:c>
      <x:c r="D15" s="39" t="str">
        <x:v>Mains supply</x:v>
      </x:c>
      <x:c r="E15" s="39" t="str">
        <x:v>UK mains → 230 V AC 50 Hz</x:v>
      </x:c>
      <x:c r="F15" s="39" t="str">
        <x:v>The kettle receives about 230 V alternating potential difference at 50 Hz.</x:v>
      </x:c>
      <x:c r="G15" s="44" t="n">
        <x:v>1</x:v>
      </x:c>
      <x:c r="H15" s="39" t="str">
        <x:v>Core</x:v>
      </x:c>
      <x:c r="I15" s="39" t="str">
        <x:v>Connection made: UK mains → 230 V AC 50 Hz</x:v>
      </x:c>
      <x:c r="J15" s="39" t="str">
        <x:v>Revisit mains supply and explain the causal link, not only the separate facts.</x:v>
      </x:c>
      <x:c r="K15" s="39" t="str"/>
      <x:c r="L15" s="39" t="str">
        <x:f>IF(K15="","",IF(K15&gt;=G15,"Yes","Not yet"))</x:f>
      </x:c>
    </x:row>
    <x:row r="16">
      <x:c r="A16" s="38" t="str">
        <x:v>PHY-CM-02-C02</x:v>
      </x:c>
      <x:c r="B16" s="38" t="str">
        <x:v>PHY-CM-02</x:v>
      </x:c>
      <x:c r="C16" s="38" t="n">
        <x:v>2</x:v>
      </x:c>
      <x:c r="D16" s="38" t="str">
        <x:v>Complete circuit</x:v>
      </x:c>
      <x:c r="E16" s="38" t="str">
        <x:v>closed circuit + pd → current</x:v>
      </x:c>
      <x:c r="F16" s="38" t="str">
        <x:v>Closing the switch completes the circuit; the supply establishes a potential difference and charge flows through the element.</x:v>
      </x:c>
      <x:c r="G16" s="43" t="n">
        <x:v>1</x:v>
      </x:c>
      <x:c r="H16" s="38" t="str">
        <x:v>Core</x:v>
      </x:c>
      <x:c r="I16" s="38" t="str">
        <x:v>Connection made: closed circuit + pd → current</x:v>
      </x:c>
      <x:c r="J16" s="38" t="str">
        <x:v>Revisit complete circuit and explain the causal link, not only the separate facts.</x:v>
      </x:c>
      <x:c r="K16" s="38" t="str"/>
      <x:c r="L16" s="38" t="str">
        <x:f>IF(K16="","",IF(K16&gt;=G16,"Yes","Not yet"))</x:f>
      </x:c>
    </x:row>
    <x:row r="17">
      <x:c r="A17" s="39" t="str">
        <x:v>PHY-CM-02-C03</x:v>
      </x:c>
      <x:c r="B17" s="39" t="str">
        <x:v>PHY-CM-02</x:v>
      </x:c>
      <x:c r="C17" s="39" t="n">
        <x:v>3</x:v>
      </x:c>
      <x:c r="D17" s="39" t="str">
        <x:v>Current</x:v>
      </x:c>
      <x:c r="E17" s="39" t="str">
        <x:v>charge flow rate → current</x:v>
      </x:c>
      <x:c r="F17" s="39" t="str">
        <x:v>Charge carriers move; current is the rate of flow of charge, I = Q/t. Charge is not used up.</x:v>
      </x:c>
      <x:c r="G17" s="44" t="n">
        <x:v>1</x:v>
      </x:c>
      <x:c r="H17" s="39" t="str">
        <x:v>Core</x:v>
      </x:c>
      <x:c r="I17" s="39" t="str">
        <x:v>Connection made: charge flow rate → current</x:v>
      </x:c>
      <x:c r="J17" s="39" t="str">
        <x:v>Revisit current and explain the causal link, not only the separate facts.</x:v>
      </x:c>
      <x:c r="K17" s="39" t="str"/>
      <x:c r="L17" s="39" t="str">
        <x:f>IF(K17="","",IF(K17&gt;=G17,"Yes","Not yet"))</x:f>
      </x:c>
    </x:row>
    <x:row r="18">
      <x:c r="A18" s="38" t="str">
        <x:v>PHY-CM-02-C04</x:v>
      </x:c>
      <x:c r="B18" s="38" t="str">
        <x:v>PHY-CM-02</x:v>
      </x:c>
      <x:c r="C18" s="38" t="n">
        <x:v>4</x:v>
      </x:c>
      <x:c r="D18" s="38" t="str">
        <x:v>Potential difference</x:v>
      </x:c>
      <x:c r="E18" s="38" t="str">
        <x:v>pd → energy per charge</x:v>
      </x:c>
      <x:c r="F18" s="38" t="str">
        <x:v>Potential difference is energy transferred per coulomb of charge. At 230 V, 230 J is transferred per coulomb.</x:v>
      </x:c>
      <x:c r="G18" s="43" t="n">
        <x:v>1</x:v>
      </x:c>
      <x:c r="H18" s="38" t="str">
        <x:v>Core</x:v>
      </x:c>
      <x:c r="I18" s="38" t="str">
        <x:v>Connection made: pd → energy per charge</x:v>
      </x:c>
      <x:c r="J18" s="38" t="str">
        <x:v>Revisit potential difference and explain the causal link, not only the separate facts.</x:v>
      </x:c>
      <x:c r="K18" s="38" t="str"/>
      <x:c r="L18" s="38" t="str">
        <x:f>IF(K18="","",IF(K18&gt;=G18,"Yes","Not yet"))</x:f>
      </x:c>
    </x:row>
    <x:row r="19">
      <x:c r="A19" s="39" t="str">
        <x:v>PHY-CM-02-C05</x:v>
      </x:c>
      <x:c r="B19" s="39" t="str">
        <x:v>PHY-CM-02</x:v>
      </x:c>
      <x:c r="C19" s="39" t="n">
        <x:v>5</x:v>
      </x:c>
      <x:c r="D19" s="39" t="str">
        <x:v>Resistance</x:v>
      </x:c>
      <x:c r="E19" s="39" t="str">
        <x:v>resistance → lattice heating</x:v>
      </x:c>
      <x:c r="F19" s="39" t="str">
        <x:v>Moving electrons interact with vibrating lattice ions, transferring energy and increasing the element’s thermal store.</x:v>
      </x:c>
      <x:c r="G19" s="44" t="n">
        <x:v>1</x:v>
      </x:c>
      <x:c r="H19" s="39" t="str">
        <x:v>Core</x:v>
      </x:c>
      <x:c r="I19" s="39" t="str">
        <x:v>Connection made: resistance → lattice heating</x:v>
      </x:c>
      <x:c r="J19" s="39" t="str">
        <x:v>Revisit resistance and explain the causal link, not only the separate facts.</x:v>
      </x:c>
      <x:c r="K19" s="39" t="str"/>
      <x:c r="L19" s="39" t="str">
        <x:f>IF(K19="","",IF(K19&gt;=G19,"Yes","Not yet"))</x:f>
      </x:c>
    </x:row>
    <x:row r="20">
      <x:c r="A20" s="38" t="str">
        <x:v>PHY-CM-02-C06</x:v>
      </x:c>
      <x:c r="B20" s="38" t="str">
        <x:v>PHY-CM-02</x:v>
      </x:c>
      <x:c r="C20" s="38" t="n">
        <x:v>6</x:v>
      </x:c>
      <x:c r="D20" s="38" t="str">
        <x:v>Temperature effect</x:v>
      </x:c>
      <x:c r="E20" s="38" t="str">
        <x:v>temperature ↑ → resistance ↑</x:v>
      </x:c>
      <x:c r="F20" s="38" t="str">
        <x:v>Greater lattice vibration causes more interactions with electrons, so resistance of a metallic element increases.</x:v>
      </x:c>
      <x:c r="G20" s="43" t="n">
        <x:v>1</x:v>
      </x:c>
      <x:c r="H20" s="38" t="str">
        <x:v>Core</x:v>
      </x:c>
      <x:c r="I20" s="38" t="str">
        <x:v>Connection made: temperature ↑ → resistance ↑</x:v>
      </x:c>
      <x:c r="J20" s="38" t="str">
        <x:v>Revisit temperature effect and explain the causal link, not only the separate facts.</x:v>
      </x:c>
      <x:c r="K20" s="38" t="str"/>
      <x:c r="L20" s="38" t="str">
        <x:f>IF(K20="","",IF(K20&gt;=G20,"Yes","Not yet"))</x:f>
      </x:c>
    </x:row>
    <x:row r="21">
      <x:c r="A21" s="39" t="str">
        <x:v>PHY-CM-02-C07</x:v>
      </x:c>
      <x:c r="B21" s="39" t="str">
        <x:v>PHY-CM-02</x:v>
      </x:c>
      <x:c r="C21" s="39" t="n">
        <x:v>7</x:v>
      </x:c>
      <x:c r="D21" s="39" t="str">
        <x:v>Power</x:v>
      </x:c>
      <x:c r="E21" s="39" t="str">
        <x:v>high power → fast transfer</x:v>
      </x:c>
      <x:c r="F21" s="39" t="str">
        <x:v>A 3.0 kW kettle transfers 3000 J each second. High P = VI means rapid energy transfer.</x:v>
      </x:c>
      <x:c r="G21" s="44" t="n">
        <x:v>1</x:v>
      </x:c>
      <x:c r="H21" s="39" t="str">
        <x:v>Core</x:v>
      </x:c>
      <x:c r="I21" s="39" t="str">
        <x:v>Connection made: high power → fast transfer</x:v>
      </x:c>
      <x:c r="J21" s="39" t="str">
        <x:v>Revisit power and explain the causal link, not only the separate facts.</x:v>
      </x:c>
      <x:c r="K21" s="39" t="str"/>
      <x:c r="L21" s="39" t="str">
        <x:f>IF(K21="","",IF(K21&gt;=G21,"Yes","Not yet"))</x:f>
      </x:c>
    </x:row>
    <x:row r="22">
      <x:c r="A22" s="38" t="str">
        <x:v>PHY-CM-02-C08</x:v>
      </x:c>
      <x:c r="B22" s="38" t="str">
        <x:v>PHY-CM-02</x:v>
      </x:c>
      <x:c r="C22" s="38" t="n">
        <x:v>8</x:v>
      </x:c>
      <x:c r="D22" s="38" t="str">
        <x:v>Energy to water</x:v>
      </x:c>
      <x:c r="E22" s="38" t="str">
        <x:v>power × time → energy</x:v>
      </x:c>
      <x:c r="F22" s="38" t="str">
        <x:v>E = Pt. Insert power in watts and time in seconds; the answer is in joules.</x:v>
      </x:c>
      <x:c r="G22" s="43" t="n">
        <x:v>1</x:v>
      </x:c>
      <x:c r="H22" s="38" t="str">
        <x:v>Core</x:v>
      </x:c>
      <x:c r="I22" s="38" t="str">
        <x:v>Connection made: power × time → energy</x:v>
      </x:c>
      <x:c r="J22" s="38" t="str">
        <x:v>Revisit energy to water and explain the causal link, not only the separate facts.</x:v>
      </x:c>
      <x:c r="K22" s="38" t="str"/>
      <x:c r="L22" s="38" t="str">
        <x:f>IF(K22="","",IF(K22&gt;=G22,"Yes","Not yet"))</x:f>
      </x:c>
    </x:row>
    <x:row r="23">
      <x:c r="A23" s="39" t="str">
        <x:v>PHY-CM-02-C09</x:v>
      </x:c>
      <x:c r="B23" s="39" t="str">
        <x:v>PHY-CM-02</x:v>
      </x:c>
      <x:c r="C23" s="39" t="n">
        <x:v>9</x:v>
      </x:c>
      <x:c r="D23" s="39" t="str">
        <x:v>Water heating</x:v>
      </x:c>
      <x:c r="E23" s="39" t="str">
        <x:v>element → water → convection</x:v>
      </x:c>
      <x:c r="F23" s="39" t="str">
        <x:v>Energy transfers from element to nearby water by heating; convection currents circulate water as warmer, less-dense water rises and cooler water sinks.</x:v>
      </x:c>
      <x:c r="G23" s="44" t="n">
        <x:v>1</x:v>
      </x:c>
      <x:c r="H23" s="39" t="str">
        <x:v>Extension</x:v>
      </x:c>
      <x:c r="I23" s="39" t="str">
        <x:v>Connection made: element → water → convection</x:v>
      </x:c>
      <x:c r="J23" s="39" t="str">
        <x:v>Revisit water heating and explain the causal link, not only the separate facts.</x:v>
      </x:c>
      <x:c r="K23" s="39" t="str"/>
      <x:c r="L23" s="39" t="str">
        <x:f>IF(K23="","",IF(K23&gt;=G23,"Yes","Not yet"))</x:f>
      </x:c>
    </x:row>
    <x:row r="24">
      <x:c r="A24" s="38" t="str">
        <x:v>PHY-CM-02-C10</x:v>
      </x:c>
      <x:c r="B24" s="38" t="str">
        <x:v>PHY-CM-02</x:v>
      </x:c>
      <x:c r="C24" s="38" t="n">
        <x:v>10</x:v>
      </x:c>
      <x:c r="D24" s="38" t="str">
        <x:v>Fault protection</x:v>
      </x:c>
      <x:c r="E24" s="38" t="str">
        <x:v>earth path → large current → disconnection</x:v>
      </x:c>
      <x:c r="F24" s="38" t="str">
        <x:v>The earth wire provides a low-resistance path, producing a large fault current that melts the fuse or trips a circuit breaker, disconnecting the live supply.</x:v>
      </x:c>
      <x:c r="G24" s="43" t="n">
        <x:v>1</x:v>
      </x:c>
      <x:c r="H24" s="38" t="str">
        <x:v>Extension</x:v>
      </x:c>
      <x:c r="I24" s="38" t="str">
        <x:v>Connection made: earth path → large current → disconnection</x:v>
      </x:c>
      <x:c r="J24" s="38" t="str">
        <x:v>Revisit fault protection and explain the causal link, not only the separate facts.</x:v>
      </x:c>
      <x:c r="K24" s="38" t="str"/>
      <x:c r="L24" s="38" t="str">
        <x:f>IF(K24="","",IF(K24&gt;=G24,"Yes","Not yet"))</x:f>
      </x:c>
    </x:row>
    <x:row r="25">
      <x:c r="A25" s="39" t="str">
        <x:v>PHY-CM-03-C01</x:v>
      </x:c>
      <x:c r="B25" s="39" t="str">
        <x:v>PHY-CM-03</x:v>
      </x:c>
      <x:c r="C25" s="39" t="n">
        <x:v>1</x:v>
      </x:c>
      <x:c r="D25" s="39" t="str">
        <x:v>States</x:v>
      </x:c>
      <x:c r="E25" s="39" t="str">
        <x:v>arrangement + motion → state</x:v>
      </x:c>
      <x:c r="F25" s="39" t="str">
        <x:v>Solid particles vibrate in fixed positions; liquid particles remain close but move past one another; gas particles move rapidly and randomly far apart.</x:v>
      </x:c>
      <x:c r="G25" s="44" t="n">
        <x:v>1</x:v>
      </x:c>
      <x:c r="H25" s="39" t="str">
        <x:v>Core</x:v>
      </x:c>
      <x:c r="I25" s="39" t="str">
        <x:v>Connection made: arrangement + motion → state</x:v>
      </x:c>
      <x:c r="J25" s="39" t="str">
        <x:v>Revisit states and explain the causal link, not only the separate facts.</x:v>
      </x:c>
      <x:c r="K25" s="39" t="str"/>
      <x:c r="L25" s="39" t="str">
        <x:f>IF(K25="","",IF(K25&gt;=G25,"Yes","Not yet"))</x:f>
      </x:c>
    </x:row>
    <x:row r="26">
      <x:c r="A26" s="38" t="str">
        <x:v>PHY-CM-03-C02</x:v>
      </x:c>
      <x:c r="B26" s="38" t="str">
        <x:v>PHY-CM-03</x:v>
      </x:c>
      <x:c r="C26" s="38" t="n">
        <x:v>2</x:v>
      </x:c>
      <x:c r="D26" s="38" t="str">
        <x:v>Density</x:v>
      </x:c>
      <x:c r="E26" s="38" t="str">
        <x:v>particle spacing → density</x:v>
      </x:c>
      <x:c r="F26" s="38" t="str">
        <x:v>Steam particles are much farther apart, so a given mass occupies a much larger volume and has lower density. ρ = m/V.</x:v>
      </x:c>
      <x:c r="G26" s="43" t="n">
        <x:v>1</x:v>
      </x:c>
      <x:c r="H26" s="38" t="str">
        <x:v>Core</x:v>
      </x:c>
      <x:c r="I26" s="38" t="str">
        <x:v>Connection made: particle spacing → density</x:v>
      </x:c>
      <x:c r="J26" s="38" t="str">
        <x:v>Revisit density and explain the causal link, not only the separate facts.</x:v>
      </x:c>
      <x:c r="K26" s="38" t="str"/>
      <x:c r="L26" s="38" t="str">
        <x:f>IF(K26="","",IF(K26&gt;=G26,"Yes","Not yet"))</x:f>
      </x:c>
    </x:row>
    <x:row r="27">
      <x:c r="A27" s="39" t="str">
        <x:v>PHY-CM-03-C03</x:v>
      </x:c>
      <x:c r="B27" s="39" t="str">
        <x:v>PHY-CM-03</x:v>
      </x:c>
      <x:c r="C27" s="39" t="n">
        <x:v>3</x:v>
      </x:c>
      <x:c r="D27" s="39" t="str">
        <x:v>Internal energy</x:v>
      </x:c>
      <x:c r="E27" s="39" t="str">
        <x:v>heating → internal energy</x:v>
      </x:c>
      <x:c r="F27" s="39" t="str">
        <x:v>Heating increases internal energy: particle kinetic energy rises as temperature rises, and potential energy may rise during state change.</x:v>
      </x:c>
      <x:c r="G27" s="44" t="n">
        <x:v>1</x:v>
      </x:c>
      <x:c r="H27" s="39" t="str">
        <x:v>Core</x:v>
      </x:c>
      <x:c r="I27" s="39" t="str">
        <x:v>Connection made: heating → internal energy</x:v>
      </x:c>
      <x:c r="J27" s="39" t="str">
        <x:v>Revisit internal energy and explain the causal link, not only the separate facts.</x:v>
      </x:c>
      <x:c r="K27" s="39" t="str"/>
      <x:c r="L27" s="39" t="str">
        <x:f>IF(K27="","",IF(K27&gt;=G27,"Yes","Not yet"))</x:f>
      </x:c>
    </x:row>
    <x:row r="28">
      <x:c r="A28" s="38" t="str">
        <x:v>PHY-CM-03-C04</x:v>
      </x:c>
      <x:c r="B28" s="38" t="str">
        <x:v>PHY-CM-03</x:v>
      </x:c>
      <x:c r="C28" s="38" t="n">
        <x:v>4</x:v>
      </x:c>
      <x:c r="D28" s="38" t="str">
        <x:v>Specific heat capacity</x:v>
      </x:c>
      <x:c r="E28" s="38" t="str">
        <x:v>mass + c + ΔT → energy</x:v>
      </x:c>
      <x:c r="F28" s="38" t="str">
        <x:v>ΔE = mcΔθ. Insert mass, specific heat capacity and temperature change; answer in joules.</x:v>
      </x:c>
      <x:c r="G28" s="43" t="n">
        <x:v>1</x:v>
      </x:c>
      <x:c r="H28" s="38" t="str">
        <x:v>Core</x:v>
      </x:c>
      <x:c r="I28" s="38" t="str">
        <x:v>Connection made: mass + c + ΔT → energy</x:v>
      </x:c>
      <x:c r="J28" s="38" t="str">
        <x:v>Revisit specific heat capacity and explain the causal link, not only the separate facts.</x:v>
      </x:c>
      <x:c r="K28" s="38" t="str"/>
      <x:c r="L28" s="38" t="str">
        <x:f>IF(K28="","",IF(K28&gt;=G28,"Yes","Not yet"))</x:f>
      </x:c>
    </x:row>
    <x:row r="29">
      <x:c r="A29" s="39" t="str">
        <x:v>PHY-CM-03-C05</x:v>
      </x:c>
      <x:c r="B29" s="39" t="str">
        <x:v>PHY-CM-03</x:v>
      </x:c>
      <x:c r="C29" s="39" t="n">
        <x:v>5</x:v>
      </x:c>
      <x:c r="D29" s="39" t="str">
        <x:v>Boiling</x:v>
      </x:c>
      <x:c r="E29" s="39" t="str">
        <x:v>latent heating → separation</x:v>
      </x:c>
      <x:c r="F29" s="39" t="str">
        <x:v>During boiling, energy increases particle potential energy to overcome attractions, so average kinetic energy and temperature remain constant.</x:v>
      </x:c>
      <x:c r="G29" s="44" t="n">
        <x:v>1</x:v>
      </x:c>
      <x:c r="H29" s="39" t="str">
        <x:v>Core</x:v>
      </x:c>
      <x:c r="I29" s="39" t="str">
        <x:v>Connection made: latent heating → separation</x:v>
      </x:c>
      <x:c r="J29" s="39" t="str">
        <x:v>Revisit boiling and explain the causal link, not only the separate facts.</x:v>
      </x:c>
      <x:c r="K29" s="39" t="str"/>
      <x:c r="L29" s="39" t="str">
        <x:f>IF(K29="","",IF(K29&gt;=G29,"Yes","Not yet"))</x:f>
      </x:c>
    </x:row>
    <x:row r="30">
      <x:c r="A30" s="38" t="str">
        <x:v>PHY-CM-03-C06</x:v>
      </x:c>
      <x:c r="B30" s="38" t="str">
        <x:v>PHY-CM-03</x:v>
      </x:c>
      <x:c r="C30" s="38" t="n">
        <x:v>6</x:v>
      </x:c>
      <x:c r="D30" s="38" t="str">
        <x:v>Latent heat</x:v>
      </x:c>
      <x:c r="E30" s="38" t="str">
        <x:v>mass × latent heat → energy</x:v>
      </x:c>
      <x:c r="F30" s="38" t="str">
        <x:v>E = mL. Insert mass in kg and specific latent heat in J/kg; answer in joules.</x:v>
      </x:c>
      <x:c r="G30" s="43" t="n">
        <x:v>1</x:v>
      </x:c>
      <x:c r="H30" s="38" t="str">
        <x:v>Core</x:v>
      </x:c>
      <x:c r="I30" s="38" t="str">
        <x:v>Connection made: mass × latent heat → energy</x:v>
      </x:c>
      <x:c r="J30" s="38" t="str">
        <x:v>Revisit latent heat and explain the causal link, not only the separate facts.</x:v>
      </x:c>
      <x:c r="K30" s="38" t="str"/>
      <x:c r="L30" s="38" t="str">
        <x:f>IF(K30="","",IF(K30&gt;=G30,"Yes","Not yet"))</x:f>
      </x:c>
    </x:row>
    <x:row r="31">
      <x:c r="A31" s="39" t="str">
        <x:v>PHY-CM-03-C07</x:v>
      </x:c>
      <x:c r="B31" s="39" t="str">
        <x:v>PHY-CM-03</x:v>
      </x:c>
      <x:c r="C31" s="39" t="n">
        <x:v>7</x:v>
      </x:c>
      <x:c r="D31" s="39" t="str">
        <x:v>Gas pressure</x:v>
      </x:c>
      <x:c r="E31" s="39" t="str">
        <x:v>collisions → force/area → pressure</x:v>
      </x:c>
      <x:c r="F31" s="39" t="str">
        <x:v>Randomly moving particles collide with the walls and exert forces; force per unit area produces pressure.</x:v>
      </x:c>
      <x:c r="G31" s="44" t="n">
        <x:v>1</x:v>
      </x:c>
      <x:c r="H31" s="39" t="str">
        <x:v>Core</x:v>
      </x:c>
      <x:c r="I31" s="39" t="str">
        <x:v>Connection made: collisions → force/area → pressure</x:v>
      </x:c>
      <x:c r="J31" s="39" t="str">
        <x:v>Revisit gas pressure and explain the causal link, not only the separate facts.</x:v>
      </x:c>
      <x:c r="K31" s="39" t="str"/>
      <x:c r="L31" s="39" t="str">
        <x:f>IF(K31="","",IF(K31&gt;=G31,"Yes","Not yet"))</x:f>
      </x:c>
    </x:row>
    <x:row r="32">
      <x:c r="A32" s="38" t="str">
        <x:v>PHY-CM-03-C08</x:v>
      </x:c>
      <x:c r="B32" s="38" t="str">
        <x:v>PHY-CM-03</x:v>
      </x:c>
      <x:c r="C32" s="38" t="n">
        <x:v>8</x:v>
      </x:c>
      <x:c r="D32" s="38" t="str">
        <x:v>Heating gas</x:v>
      </x:c>
      <x:c r="E32" s="38" t="str">
        <x:v>temperature ↑ → collision effect ↑ → pressure ↑</x:v>
      </x:c>
      <x:c r="F32" s="38" t="str">
        <x:v>Higher temperature means greater average kinetic energy, so collisions with walls are more frequent and forceful, raising pressure.</x:v>
      </x:c>
      <x:c r="G32" s="43" t="n">
        <x:v>1</x:v>
      </x:c>
      <x:c r="H32" s="38" t="str">
        <x:v>Core</x:v>
      </x:c>
      <x:c r="I32" s="38" t="str">
        <x:v>Connection made: temperature ↑ → collision effect ↑ → pressure ↑</x:v>
      </x:c>
      <x:c r="J32" s="38" t="str">
        <x:v>Revisit heating gas and explain the causal link, not only the separate facts.</x:v>
      </x:c>
      <x:c r="K32" s="38" t="str"/>
      <x:c r="L32" s="38" t="str">
        <x:f>IF(K32="","",IF(K32&gt;=G32,"Yes","Not yet"))</x:f>
      </x:c>
    </x:row>
    <x:row r="33">
      <x:c r="A33" s="39" t="str">
        <x:v>PHY-CM-03-C09</x:v>
      </x:c>
      <x:c r="B33" s="39" t="str">
        <x:v>PHY-CM-03</x:v>
      </x:c>
      <x:c r="C33" s="39" t="n">
        <x:v>9</x:v>
      </x:c>
      <x:c r="D33" s="39" t="str">
        <x:v>Volume relation</x:v>
      </x:c>
      <x:c r="E33" s="39" t="str">
        <x:v>volume ↓ → pressure ↑</x:v>
      </x:c>
      <x:c r="F33" s="39" t="str">
        <x:v>Pressure increases as volume decreases; p₁V₁ = p₂V₂ for a fixed mass at constant temperature.</x:v>
      </x:c>
      <x:c r="G33" s="44" t="n">
        <x:v>1</x:v>
      </x:c>
      <x:c r="H33" s="39" t="str">
        <x:v>Extension</x:v>
      </x:c>
      <x:c r="I33" s="39" t="str">
        <x:v>Connection made: volume ↓ → pressure ↑</x:v>
      </x:c>
      <x:c r="J33" s="39" t="str">
        <x:v>Revisit volume relation and explain the causal link, not only the separate facts.</x:v>
      </x:c>
      <x:c r="K33" s="39" t="str"/>
      <x:c r="L33" s="39" t="str">
        <x:f>IF(K33="","",IF(K33&gt;=G33,"Yes","Not yet"))</x:f>
      </x:c>
    </x:row>
    <x:row r="34">
      <x:c r="A34" s="38" t="str">
        <x:v>PHY-CM-03-C10</x:v>
      </x:c>
      <x:c r="B34" s="38" t="str">
        <x:v>PHY-CM-03</x:v>
      </x:c>
      <x:c r="C34" s="38" t="n">
        <x:v>10</x:v>
      </x:c>
      <x:c r="D34" s="38" t="str">
        <x:v>Safety and cooling</x:v>
      </x:c>
      <x:c r="E34" s="38" t="str">
        <x:v>pressure limit + cooling → safety</x:v>
      </x:c>
      <x:c r="F34" s="38" t="str">
        <x:v>The valve releases steam before pressure becomes unsafe. On cooling, particles lose internal energy and steam condenses, transferring latent energy to the surroundings.</x:v>
      </x:c>
      <x:c r="G34" s="43" t="n">
        <x:v>1</x:v>
      </x:c>
      <x:c r="H34" s="38" t="str">
        <x:v>Extension</x:v>
      </x:c>
      <x:c r="I34" s="38" t="str">
        <x:v>Connection made: pressure limit + cooling → safety</x:v>
      </x:c>
      <x:c r="J34" s="38" t="str">
        <x:v>Revisit safety and cooling and explain the causal link, not only the separate facts.</x:v>
      </x:c>
      <x:c r="K34" s="38" t="str"/>
      <x:c r="L34" s="38" t="str">
        <x:f>IF(K34="","",IF(K34&gt;=G34,"Yes","Not yet"))</x:f>
      </x:c>
    </x:row>
    <x:row r="35">
      <x:c r="A35" s="39" t="str">
        <x:v>PHY-CM-04-C01</x:v>
      </x:c>
      <x:c r="B35" s="39" t="str">
        <x:v>PHY-CM-04</x:v>
      </x:c>
      <x:c r="C35" s="39" t="n">
        <x:v>1</x:v>
      </x:c>
      <x:c r="D35" s="39" t="str">
        <x:v>Atomic structure</x:v>
      </x:c>
      <x:c r="E35" s="39" t="str">
        <x:v>nuclear structure → atom</x:v>
      </x:c>
      <x:c r="F35" s="39" t="str">
        <x:v>A tiny nucleus contains positive protons and neutral neutrons; negative electrons occupy shells around it. Most of the atom is empty space.</x:v>
      </x:c>
      <x:c r="G35" s="44" t="n">
        <x:v>1</x:v>
      </x:c>
      <x:c r="H35" s="39" t="str">
        <x:v>Core</x:v>
      </x:c>
      <x:c r="I35" s="39" t="str">
        <x:v>Connection made: nuclear structure → atom</x:v>
      </x:c>
      <x:c r="J35" s="39" t="str">
        <x:v>Revisit atomic structure and explain the causal link, not only the separate facts.</x:v>
      </x:c>
      <x:c r="K35" s="39" t="str"/>
      <x:c r="L35" s="39" t="str">
        <x:f>IF(K35="","",IF(K35&gt;=G35,"Yes","Not yet"))</x:f>
      </x:c>
    </x:row>
    <x:row r="36">
      <x:c r="A36" s="38" t="str">
        <x:v>PHY-CM-04-C02</x:v>
      </x:c>
      <x:c r="B36" s="38" t="str">
        <x:v>PHY-CM-04</x:v>
      </x:c>
      <x:c r="C36" s="38" t="n">
        <x:v>2</x:v>
      </x:c>
      <x:c r="D36" s="38" t="str">
        <x:v>Isotopes</x:v>
      </x:c>
      <x:c r="E36" s="38" t="str">
        <x:v>same protons + different neutrons → isotope</x:v>
      </x:c>
      <x:c r="F36" s="38" t="str">
        <x:v>Isotopes have the same number of protons but different numbers of neutrons; some neutron–proton combinations are unstable.</x:v>
      </x:c>
      <x:c r="G36" s="43" t="n">
        <x:v>1</x:v>
      </x:c>
      <x:c r="H36" s="38" t="str">
        <x:v>Core</x:v>
      </x:c>
      <x:c r="I36" s="38" t="str">
        <x:v>Connection made: same protons + different neutrons → isotope</x:v>
      </x:c>
      <x:c r="J36" s="38" t="str">
        <x:v>Revisit isotopes and explain the causal link, not only the separate facts.</x:v>
      </x:c>
      <x:c r="K36" s="38" t="str"/>
      <x:c r="L36" s="38" t="str">
        <x:f>IF(K36="","",IF(K36&gt;=G36,"Yes","Not yet"))</x:f>
      </x:c>
    </x:row>
    <x:row r="37">
      <x:c r="A37" s="39" t="str">
        <x:v>PHY-CM-04-C03</x:v>
      </x:c>
      <x:c r="B37" s="39" t="str">
        <x:v>PHY-CM-04</x:v>
      </x:c>
      <x:c r="C37" s="39" t="n">
        <x:v>3</x:v>
      </x:c>
      <x:c r="D37" s="39" t="str">
        <x:v>Random decay</x:v>
      </x:c>
      <x:c r="E37" s="39" t="str">
        <x:v>random nuclei → predictable population</x:v>
      </x:c>
      <x:c r="F37" s="39" t="str">
        <x:v>Decay is random for an individual nucleus, but the activity of a large sample follows a predictable exponential pattern.</x:v>
      </x:c>
      <x:c r="G37" s="44" t="n">
        <x:v>1</x:v>
      </x:c>
      <x:c r="H37" s="39" t="str">
        <x:v>Core</x:v>
      </x:c>
      <x:c r="I37" s="39" t="str">
        <x:v>Connection made: random nuclei → predictable population</x:v>
      </x:c>
      <x:c r="J37" s="39" t="str">
        <x:v>Revisit random decay and explain the causal link, not only the separate facts.</x:v>
      </x:c>
      <x:c r="K37" s="39" t="str"/>
      <x:c r="L37" s="39" t="str">
        <x:f>IF(K37="","",IF(K37&gt;=G37,"Yes","Not yet"))</x:f>
      </x:c>
    </x:row>
    <x:row r="38">
      <x:c r="A38" s="38" t="str">
        <x:v>PHY-CM-04-C04</x:v>
      </x:c>
      <x:c r="B38" s="38" t="str">
        <x:v>PHY-CM-04</x:v>
      </x:c>
      <x:c r="C38" s="38" t="n">
        <x:v>4</x:v>
      </x:c>
      <x:c r="D38" s="38" t="str">
        <x:v>Radiations</x:v>
      </x:c>
      <x:c r="E38" s="38" t="str">
        <x:v>radiation type → penetration/ionisation</x:v>
      </x:c>
      <x:c r="F38" s="38" t="str">
        <x:v>Alpha is strongly ionising and stopped by paper/skin; beta is moderate and stopped by thin aluminium; gamma is weakly ionising and reduced by thick lead or concrete.</x:v>
      </x:c>
      <x:c r="G38" s="43" t="n">
        <x:v>1</x:v>
      </x:c>
      <x:c r="H38" s="38" t="str">
        <x:v>Core</x:v>
      </x:c>
      <x:c r="I38" s="38" t="str">
        <x:v>Connection made: radiation type → penetration/ionisation</x:v>
      </x:c>
      <x:c r="J38" s="38" t="str">
        <x:v>Revisit radiations and explain the causal link, not only the separate facts.</x:v>
      </x:c>
      <x:c r="K38" s="38" t="str"/>
      <x:c r="L38" s="38" t="str">
        <x:f>IF(K38="","",IF(K38&gt;=G38,"Yes","Not yet"))</x:f>
      </x:c>
    </x:row>
    <x:row r="39">
      <x:c r="A39" s="39" t="str">
        <x:v>PHY-CM-04-C05</x:v>
      </x:c>
      <x:c r="B39" s="39" t="str">
        <x:v>PHY-CM-04</x:v>
      </x:c>
      <x:c r="C39" s="39" t="n">
        <x:v>5</x:v>
      </x:c>
      <x:c r="D39" s="39" t="str">
        <x:v>Nuclear equations</x:v>
      </x:c>
      <x:c r="E39" s="39" t="str">
        <x:v>decay → balanced nuclear equation</x:v>
      </x:c>
      <x:c r="F39" s="39" t="str">
        <x:v>Total mass number and atomic number are conserved. Alpha emission reduces mass number by 4 and atomic number by 2; beta-minus increases atomic number by 1.</x:v>
      </x:c>
      <x:c r="G39" s="44" t="n">
        <x:v>1</x:v>
      </x:c>
      <x:c r="H39" s="39" t="str">
        <x:v>Core</x:v>
      </x:c>
      <x:c r="I39" s="39" t="str">
        <x:v>Connection made: decay → balanced nuclear equation</x:v>
      </x:c>
      <x:c r="J39" s="39" t="str">
        <x:v>Revisit nuclear equations and explain the causal link, not only the separate facts.</x:v>
      </x:c>
      <x:c r="K39" s="39" t="str"/>
      <x:c r="L39" s="39" t="str">
        <x:f>IF(K39="","",IF(K39&gt;=G39,"Yes","Not yet"))</x:f>
      </x:c>
    </x:row>
    <x:row r="40">
      <x:c r="A40" s="38" t="str">
        <x:v>PHY-CM-04-C06</x:v>
      </x:c>
      <x:c r="B40" s="38" t="str">
        <x:v>PHY-CM-04</x:v>
      </x:c>
      <x:c r="C40" s="38" t="n">
        <x:v>6</x:v>
      </x:c>
      <x:c r="D40" s="38" t="str">
        <x:v>Activity</x:v>
      </x:c>
      <x:c r="E40" s="38" t="str">
        <x:v>decays/second → activity</x:v>
      </x:c>
      <x:c r="F40" s="38" t="str">
        <x:v>Activity is the number of nuclear decays per second and is measured in becquerels (Bq).</x:v>
      </x:c>
      <x:c r="G40" s="43" t="n">
        <x:v>1</x:v>
      </x:c>
      <x:c r="H40" s="38" t="str">
        <x:v>Core</x:v>
      </x:c>
      <x:c r="I40" s="38" t="str">
        <x:v>Connection made: decays/second → activity</x:v>
      </x:c>
      <x:c r="J40" s="38" t="str">
        <x:v>Revisit activity and explain the causal link, not only the separate facts.</x:v>
      </x:c>
      <x:c r="K40" s="38" t="str"/>
      <x:c r="L40" s="38" t="str">
        <x:f>IF(K40="","",IF(K40&gt;=G40,"Yes","Not yet"))</x:f>
      </x:c>
    </x:row>
    <x:row r="41">
      <x:c r="A41" s="39" t="str">
        <x:v>PHY-CM-04-C07</x:v>
      </x:c>
      <x:c r="B41" s="39" t="str">
        <x:v>PHY-CM-04</x:v>
      </x:c>
      <x:c r="C41" s="39" t="n">
        <x:v>7</x:v>
      </x:c>
      <x:c r="D41" s="39" t="str">
        <x:v>Half-life</x:v>
      </x:c>
      <x:c r="E41" s="39" t="str">
        <x:v>time → repeated halving</x:v>
      </x:c>
      <x:c r="F41" s="39" t="str">
        <x:v>Half-life is the time for activity, count rate or number of undecayed nuclei to fall to half. After n half-lives, fraction remaining = (½)ⁿ.</x:v>
      </x:c>
      <x:c r="G41" s="44" t="n">
        <x:v>1</x:v>
      </x:c>
      <x:c r="H41" s="39" t="str">
        <x:v>Core</x:v>
      </x:c>
      <x:c r="I41" s="39" t="str">
        <x:v>Connection made: time → repeated halving</x:v>
      </x:c>
      <x:c r="J41" s="39" t="str">
        <x:v>Revisit half-life and explain the causal link, not only the separate facts.</x:v>
      </x:c>
      <x:c r="K41" s="39" t="str"/>
      <x:c r="L41" s="39" t="str">
        <x:f>IF(K41="","",IF(K41&gt;=G41,"Yes","Not yet"))</x:f>
      </x:c>
    </x:row>
    <x:row r="42">
      <x:c r="A42" s="38" t="str">
        <x:v>PHY-CM-04-C08</x:v>
      </x:c>
      <x:c r="B42" s="38" t="str">
        <x:v>PHY-CM-04</x:v>
      </x:c>
      <x:c r="C42" s="38" t="n">
        <x:v>8</x:v>
      </x:c>
      <x:c r="D42" s="38" t="str">
        <x:v>Tracer choice</x:v>
      </x:c>
      <x:c r="E42" s="38" t="str">
        <x:v>properties → suitable tracer</x:v>
      </x:c>
      <x:c r="F42" s="38" t="str">
        <x:v>A tracer should emit radiation detectable outside the body, often gamma, and have a half-life long enough for the test but short enough to limit dose.</x:v>
      </x:c>
      <x:c r="G42" s="43" t="n">
        <x:v>1</x:v>
      </x:c>
      <x:c r="H42" s="38" t="str">
        <x:v>Core</x:v>
      </x:c>
      <x:c r="I42" s="38" t="str">
        <x:v>Connection made: properties → suitable tracer</x:v>
      </x:c>
      <x:c r="J42" s="38" t="str">
        <x:v>Revisit tracer choice and explain the causal link, not only the separate facts.</x:v>
      </x:c>
      <x:c r="K42" s="38" t="str"/>
      <x:c r="L42" s="38" t="str">
        <x:f>IF(K42="","",IF(K42&gt;=G42,"Yes","Not yet"))</x:f>
      </x:c>
    </x:row>
    <x:row r="43">
      <x:c r="A43" s="39" t="str">
        <x:v>PHY-CM-04-C09</x:v>
      </x:c>
      <x:c r="B43" s="39" t="str">
        <x:v>PHY-CM-04</x:v>
      </x:c>
      <x:c r="C43" s="39" t="n">
        <x:v>9</x:v>
      </x:c>
      <x:c r="D43" s="39" t="str">
        <x:v>Contamination</x:v>
      </x:c>
      <x:c r="E43" s="39" t="str">
        <x:v>source location → type of hazard</x:v>
      </x:c>
      <x:c r="F43" s="39" t="str">
        <x:v>Irradiation is exposure to radiation; contamination is radioactive material on or inside the body and may continue irradiating tissues until removed or decayed.</x:v>
      </x:c>
      <x:c r="G43" s="44" t="n">
        <x:v>1</x:v>
      </x:c>
      <x:c r="H43" s="39" t="str">
        <x:v>Extension</x:v>
      </x:c>
      <x:c r="I43" s="39" t="str">
        <x:v>Connection made: source location → type of hazard</x:v>
      </x:c>
      <x:c r="J43" s="39" t="str">
        <x:v>Revisit contamination and explain the causal link, not only the separate facts.</x:v>
      </x:c>
      <x:c r="K43" s="39" t="str"/>
      <x:c r="L43" s="39" t="str">
        <x:f>IF(K43="","",IF(K43&gt;=G43,"Yes","Not yet"))</x:f>
      </x:c>
    </x:row>
    <x:row r="44">
      <x:c r="A44" s="38" t="str">
        <x:v>PHY-CM-04-C10</x:v>
      </x:c>
      <x:c r="B44" s="38" t="str">
        <x:v>PHY-CM-04</x:v>
      </x:c>
      <x:c r="C44" s="38" t="n">
        <x:v>10</x:v>
      </x:c>
      <x:c r="D44" s="38" t="str">
        <x:v>Dose reduction</x:v>
      </x:c>
      <x:c r="E44" s="38" t="str">
        <x:v>control measures → lower dose</x:v>
      </x:c>
      <x:c r="F44" s="38" t="str">
        <x:v>Minimise exposure time, maximise distance, use suitable shielding, handle sources remotely, monitor dose and contain sources to prevent contamination.</x:v>
      </x:c>
      <x:c r="G44" s="43" t="n">
        <x:v>1</x:v>
      </x:c>
      <x:c r="H44" s="38" t="str">
        <x:v>Extension</x:v>
      </x:c>
      <x:c r="I44" s="38" t="str">
        <x:v>Connection made: control measures → lower dose</x:v>
      </x:c>
      <x:c r="J44" s="38" t="str">
        <x:v>Revisit dose reduction and explain the causal link, not only the separate facts.</x:v>
      </x:c>
      <x:c r="K44" s="38" t="str"/>
      <x:c r="L44" s="38" t="str">
        <x:f>IF(K44="","",IF(K44&gt;=G44,"Yes","Not yet"))</x:f>
      </x:c>
    </x:row>
    <x:row r="45">
      <x:c r="A45" s="39" t="str">
        <x:v>PHY-CM-05-C01</x:v>
      </x:c>
      <x:c r="B45" s="39" t="str">
        <x:v>PHY-CM-05</x:v>
      </x:c>
      <x:c r="C45" s="39" t="n">
        <x:v>1</x:v>
      </x:c>
      <x:c r="D45" s="39" t="str">
        <x:v>Vectors</x:v>
      </x:c>
      <x:c r="E45" s="39" t="str">
        <x:v>direction + magnitude → vector</x:v>
      </x:c>
      <x:c r="F45" s="39" t="str">
        <x:v>Speed has magnitude only; velocity, force, acceleration and momentum have magnitude and direction, so direction changes affect motion.</x:v>
      </x:c>
      <x:c r="G45" s="44" t="n">
        <x:v>1</x:v>
      </x:c>
      <x:c r="H45" s="39" t="str">
        <x:v>Core</x:v>
      </x:c>
      <x:c r="I45" s="39" t="str">
        <x:v>Connection made: direction + magnitude → vector</x:v>
      </x:c>
      <x:c r="J45" s="39" t="str">
        <x:v>Revisit vectors and explain the causal link, not only the separate facts.</x:v>
      </x:c>
      <x:c r="K45" s="39" t="str"/>
      <x:c r="L45" s="39" t="str">
        <x:f>IF(K45="","",IF(K45&gt;=G45,"Yes","Not yet"))</x:f>
      </x:c>
    </x:row>
    <x:row r="46">
      <x:c r="A46" s="38" t="str">
        <x:v>PHY-CM-05-C02</x:v>
      </x:c>
      <x:c r="B46" s="38" t="str">
        <x:v>PHY-CM-05</x:v>
      </x:c>
      <x:c r="C46" s="38" t="n">
        <x:v>2</x:v>
      </x:c>
      <x:c r="D46" s="38" t="str">
        <x:v>Resultant force</x:v>
      </x:c>
      <x:c r="E46" s="38" t="str">
        <x:v>resultant force → acceleration</x:v>
      </x:c>
      <x:c r="F46" s="38" t="str">
        <x:v>A non-zero resultant force causes acceleration in its direction. F = ma links resultant force, mass and acceleration.</x:v>
      </x:c>
      <x:c r="G46" s="43" t="n">
        <x:v>1</x:v>
      </x:c>
      <x:c r="H46" s="38" t="str">
        <x:v>Core</x:v>
      </x:c>
      <x:c r="I46" s="38" t="str">
        <x:v>Connection made: resultant force → acceleration</x:v>
      </x:c>
      <x:c r="J46" s="38" t="str">
        <x:v>Revisit resultant force and explain the causal link, not only the separate facts.</x:v>
      </x:c>
      <x:c r="K46" s="38" t="str"/>
      <x:c r="L46" s="38" t="str">
        <x:f>IF(K46="","",IF(K46&gt;=G46,"Yes","Not yet"))</x:f>
      </x:c>
    </x:row>
    <x:row r="47">
      <x:c r="A47" s="39" t="str">
        <x:v>PHY-CM-05-C03</x:v>
      </x:c>
      <x:c r="B47" s="39" t="str">
        <x:v>PHY-CM-05</x:v>
      </x:c>
      <x:c r="C47" s="39" t="n">
        <x:v>3</x:v>
      </x:c>
      <x:c r="D47" s="39" t="str">
        <x:v>Interaction pairs</x:v>
      </x:c>
      <x:c r="E47" s="39" t="str">
        <x:v>interaction pair → propulsion</x:v>
      </x:c>
      <x:c r="F47" s="39" t="str">
        <x:v>Tyres push backward on the road and the road pushes forward on the tyres with an equal and opposite force.</x:v>
      </x:c>
      <x:c r="G47" s="44" t="n">
        <x:v>1</x:v>
      </x:c>
      <x:c r="H47" s="39" t="str">
        <x:v>Core</x:v>
      </x:c>
      <x:c r="I47" s="39" t="str">
        <x:v>Connection made: interaction pair → propulsion</x:v>
      </x:c>
      <x:c r="J47" s="39" t="str">
        <x:v>Revisit interaction pairs and explain the causal link, not only the separate facts.</x:v>
      </x:c>
      <x:c r="K47" s="39" t="str"/>
      <x:c r="L47" s="39" t="str">
        <x:f>IF(K47="","",IF(K47&gt;=G47,"Yes","Not yet"))</x:f>
      </x:c>
    </x:row>
    <x:row r="48">
      <x:c r="A48" s="38" t="str">
        <x:v>PHY-CM-05-C04</x:v>
      </x:c>
      <x:c r="B48" s="38" t="str">
        <x:v>PHY-CM-05</x:v>
      </x:c>
      <x:c r="C48" s="38" t="n">
        <x:v>4</x:v>
      </x:c>
      <x:c r="D48" s="38" t="str">
        <x:v>Motion graphs</x:v>
      </x:c>
      <x:c r="E48" s="38" t="str">
        <x:v>graph feature → motion quantity</x:v>
      </x:c>
      <x:c r="F48" s="38" t="str">
        <x:v>Gradient of a distance–time graph gives speed; gradient of a velocity–time graph gives acceleration; area under a velocity–time graph gives displacement.</x:v>
      </x:c>
      <x:c r="G48" s="43" t="n">
        <x:v>1</x:v>
      </x:c>
      <x:c r="H48" s="38" t="str">
        <x:v>Core</x:v>
      </x:c>
      <x:c r="I48" s="38" t="str">
        <x:v>Connection made: graph feature → motion quantity</x:v>
      </x:c>
      <x:c r="J48" s="38" t="str">
        <x:v>Revisit motion graphs and explain the causal link, not only the separate facts.</x:v>
      </x:c>
      <x:c r="K48" s="38" t="str"/>
      <x:c r="L48" s="38" t="str">
        <x:f>IF(K48="","",IF(K48&gt;=G48,"Yes","Not yet"))</x:f>
      </x:c>
    </x:row>
    <x:row r="49">
      <x:c r="A49" s="39" t="str">
        <x:v>PHY-CM-05-C05</x:v>
      </x:c>
      <x:c r="B49" s="39" t="str">
        <x:v>PHY-CM-05</x:v>
      </x:c>
      <x:c r="C49" s="39" t="n">
        <x:v>5</x:v>
      </x:c>
      <x:c r="D49" s="39" t="str">
        <x:v>Reaction phase</x:v>
      </x:c>
      <x:c r="E49" s="39" t="str">
        <x:v>reaction time × speed → thinking distance</x:v>
      </x:c>
      <x:c r="F49" s="39" t="str">
        <x:v>During reaction time the driver has not yet braked, so the car continues at its initial speed. Tiredness, alcohol, drugs and distraction increase reaction time.</x:v>
      </x:c>
      <x:c r="G49" s="44" t="n">
        <x:v>1</x:v>
      </x:c>
      <x:c r="H49" s="39" t="str">
        <x:v>Core</x:v>
      </x:c>
      <x:c r="I49" s="39" t="str">
        <x:v>Connection made: reaction time × speed → thinking distance</x:v>
      </x:c>
      <x:c r="J49" s="39" t="str">
        <x:v>Revisit reaction phase and explain the causal link, not only the separate facts.</x:v>
      </x:c>
      <x:c r="K49" s="39" t="str"/>
      <x:c r="L49" s="39" t="str">
        <x:f>IF(K49="","",IF(K49&gt;=G49,"Yes","Not yet"))</x:f>
      </x:c>
    </x:row>
    <x:row r="50">
      <x:c r="A50" s="38" t="str">
        <x:v>PHY-CM-05-C06</x:v>
      </x:c>
      <x:c r="B50" s="38" t="str">
        <x:v>PHY-CM-05</x:v>
      </x:c>
      <x:c r="C50" s="38" t="n">
        <x:v>6</x:v>
      </x:c>
      <x:c r="D50" s="38" t="str">
        <x:v>Braking distance</x:v>
      </x:c>
      <x:c r="E50" s="38" t="str">
        <x:v>speed/mass/grip → braking distance</x:v>
      </x:c>
      <x:c r="F50" s="38" t="str">
        <x:v>Greater speed or mass increases kinetic energy; worn tyres/brakes, wet or icy roads reduce braking force, increasing braking distance.</x:v>
      </x:c>
      <x:c r="G50" s="43" t="n">
        <x:v>1</x:v>
      </x:c>
      <x:c r="H50" s="38" t="str">
        <x:v>Core</x:v>
      </x:c>
      <x:c r="I50" s="38" t="str">
        <x:v>Connection made: speed/mass/grip → braking distance</x:v>
      </x:c>
      <x:c r="J50" s="38" t="str">
        <x:v>Revisit braking distance and explain the causal link, not only the separate facts.</x:v>
      </x:c>
      <x:c r="K50" s="38" t="str"/>
      <x:c r="L50" s="38" t="str">
        <x:f>IF(K50="","",IF(K50&gt;=G50,"Yes","Not yet"))</x:f>
      </x:c>
    </x:row>
    <x:row r="51">
      <x:c r="A51" s="39" t="str">
        <x:v>PHY-CM-05-C07</x:v>
      </x:c>
      <x:c r="B51" s="39" t="str">
        <x:v>PHY-CM-05</x:v>
      </x:c>
      <x:c r="C51" s="39" t="n">
        <x:v>7</x:v>
      </x:c>
      <x:c r="D51" s="39" t="str">
        <x:v>Work and heating</x:v>
      </x:c>
      <x:c r="E51" s="39" t="str">
        <x:v>braking work → thermal energy</x:v>
      </x:c>
      <x:c r="F51" s="39" t="str">
        <x:v>Braking friction does work, transferring energy from the car’s kinetic store to thermal stores of brakes, tyres, road and surroundings.</x:v>
      </x:c>
      <x:c r="G51" s="44" t="n">
        <x:v>1</x:v>
      </x:c>
      <x:c r="H51" s="39" t="str">
        <x:v>Core</x:v>
      </x:c>
      <x:c r="I51" s="39" t="str">
        <x:v>Connection made: braking work → thermal energy</x:v>
      </x:c>
      <x:c r="J51" s="39" t="str">
        <x:v>Revisit work and heating and explain the causal link, not only the separate facts.</x:v>
      </x:c>
      <x:c r="K51" s="39" t="str"/>
      <x:c r="L51" s="39" t="str">
        <x:f>IF(K51="","",IF(K51&gt;=G51,"Yes","Not yet"))</x:f>
      </x:c>
    </x:row>
    <x:row r="52">
      <x:c r="A52" s="38" t="str">
        <x:v>PHY-CM-05-C08</x:v>
      </x:c>
      <x:c r="B52" s="38" t="str">
        <x:v>PHY-CM-05</x:v>
      </x:c>
      <x:c r="C52" s="38" t="n">
        <x:v>8</x:v>
      </x:c>
      <x:c r="D52" s="38" t="str">
        <x:v>Momentum</x:v>
      </x:c>
      <x:c r="E52" s="38" t="str">
        <x:v>mass × velocity → momentum</x:v>
      </x:c>
      <x:c r="F52" s="38" t="str">
        <x:v>Momentum p = mv. Total momentum before and after a collision is conserved in a closed system, with direction represented by signs.</x:v>
      </x:c>
      <x:c r="G52" s="43" t="n">
        <x:v>1</x:v>
      </x:c>
      <x:c r="H52" s="38" t="str">
        <x:v>Core</x:v>
      </x:c>
      <x:c r="I52" s="38" t="str">
        <x:v>Connection made: mass × velocity → momentum</x:v>
      </x:c>
      <x:c r="J52" s="38" t="str">
        <x:v>Revisit momentum and explain the causal link, not only the separate facts.</x:v>
      </x:c>
      <x:c r="K52" s="38" t="str"/>
      <x:c r="L52" s="38" t="str">
        <x:f>IF(K52="","",IF(K52&gt;=G52,"Yes","Not yet"))</x:f>
      </x:c>
    </x:row>
    <x:row r="53">
      <x:c r="A53" s="39" t="str">
        <x:v>PHY-CM-05-C09</x:v>
      </x:c>
      <x:c r="B53" s="39" t="str">
        <x:v>PHY-CM-05</x:v>
      </x:c>
      <x:c r="C53" s="39" t="n">
        <x:v>9</x:v>
      </x:c>
      <x:c r="D53" s="39" t="str">
        <x:v>Force and time</x:v>
      </x:c>
      <x:c r="E53" s="39" t="str">
        <x:v>stopping time ↑ → force ↓</x:v>
      </x:c>
      <x:c r="F53" s="39" t="str">
        <x:v>They increase stopping time, so the rate of change of momentum and average force are smaller. Crumple zones also transfer energy through deformation.</x:v>
      </x:c>
      <x:c r="G53" s="44" t="n">
        <x:v>1</x:v>
      </x:c>
      <x:c r="H53" s="39" t="str">
        <x:v>Extension</x:v>
      </x:c>
      <x:c r="I53" s="39" t="str">
        <x:v>Connection made: stopping time ↑ → force ↓</x:v>
      </x:c>
      <x:c r="J53" s="39" t="str">
        <x:v>Revisit force and time and explain the causal link, not only the separate facts.</x:v>
      </x:c>
      <x:c r="K53" s="39" t="str"/>
      <x:c r="L53" s="39" t="str">
        <x:f>IF(K53="","",IF(K53&gt;=G53,"Yes","Not yet"))</x:f>
      </x:c>
    </x:row>
    <x:row r="54">
      <x:c r="A54" s="41" t="str">
        <x:v>PHY-CM-05-C10</x:v>
      </x:c>
      <x:c r="B54" s="41" t="str">
        <x:v>PHY-CM-05</x:v>
      </x:c>
      <x:c r="C54" s="41" t="n">
        <x:v>10</x:v>
      </x:c>
      <x:c r="D54" s="41" t="str">
        <x:v>Airbags and pressure</x:v>
      </x:c>
      <x:c r="E54" s="41" t="str">
        <x:v>time + area → lower injury risk</x:v>
      </x:c>
      <x:c r="F54" s="41" t="str">
        <x:v>It increases stopping time, reducing force, and spreads the remaining force over a larger area, reducing pressure on the body.</x:v>
      </x:c>
      <x:c r="G54" s="46" t="n">
        <x:v>1</x:v>
      </x:c>
      <x:c r="H54" s="41" t="str">
        <x:v>Extension</x:v>
      </x:c>
      <x:c r="I54" s="41" t="str">
        <x:v>Connection made: time + area → lower injury risk</x:v>
      </x:c>
      <x:c r="J54" s="41" t="str">
        <x:v>Revisit airbags and pressure and explain the causal link, not only the separate facts.</x:v>
      </x:c>
      <x:c r="K54" s="41" t="str"/>
      <x:c r="L54" s="41" t="str">
        <x:f>IF(K54="","",IF(K54&gt;=G54,"Yes","Not yet"))</x:f>
      </x:c>
    </x:row>
  </x:sheetData>
  <x:mergeCells>
    <x:mergeCell ref="A1:L1"/>
    <x:mergeCell ref="A2:H2"/>
  </x:mergeCells>
  <x:conditionalFormatting sqref="L5:L54">
    <x:cfRule type="containsText" dxfId="0" priority="1" operator="containsText" text="Yes"/>
    <x:cfRule type="containsText" dxfId="1" priority="2" operator="containsText" text="Not yet"/>
  </x:conditionalFormatting>
  <x:dataValidations count="1">
    <x:dataValidation type="whole" operator="between" sqref="K5:K54">
      <x:formula1>0</x:formula1>
      <x:formula2>1</x:formula2>
    </x:dataValidation>
  </x:dataValidations>
  <x:pageMargins left="0.7" right="0.7" top="0.75" bottom="0.75" header="0.3" footer="0.3"/>
  <x:tableParts count="1">
    <x:tablePart xmlns:r="http://schemas.openxmlformats.org/officeDocument/2006/relationships" r:id="R320908b2e9e842a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5" hidden="0" customWidth="1"/>
    <x:col min="2" max="2" width="25" hidden="0" customWidth="1"/>
    <x:col min="3" max="3" width="30" hidden="0" customWidth="1"/>
    <x:col min="4" max="4" width="35" hidden="0" customWidth="1"/>
    <x:col min="5" max="5" width="42" hidden="0" customWidth="1"/>
    <x:col min="6" max="6" width="55" hidden="0" customWidth="1"/>
  </x:cols>
  <x:sheetData>
    <x:row r="1" ht="34" customHeight="1">
      <x:c r="A1" s="3" t="str">
        <x:v>Scoring Rubric</x:v>
      </x:c>
    </x:row>
    <x:row r="2" ht="32" customHeight="1">
      <x:c r="A2" s="6" t="str">
        <x:v>Use connection points plus explanation quality. The connection score is diagnostic, not a replacement for an exam mark.</x:v>
      </x:c>
    </x:row>
    <x:row r="4" ht="32" customHeight="1">
      <x:c r="A4" s="30" t="str">
        <x:v>Dimension</x:v>
      </x:c>
      <x:c r="B4" s="30" t="str">
        <x:v>0</x:v>
      </x:c>
      <x:c r="C4" s="30" t="str">
        <x:v>1</x:v>
      </x:c>
      <x:c r="D4" s="30" t="str">
        <x:v>2</x:v>
      </x:c>
      <x:c r="E4" s="30" t="str">
        <x:v>3</x:v>
      </x:c>
      <x:c r="F4" s="30" t="str">
        <x:v>App feedback rule</x:v>
      </x:c>
    </x:row>
    <x:row r="5">
      <x:c r="A5" s="37" t="str">
        <x:v>Connection accuracy</x:v>
      </x:c>
      <x:c r="B5" s="37" t="str">
        <x:v>Incorrect or absent</x:v>
      </x:c>
      <x:c r="C5" s="37" t="str">
        <x:v>Names relevant ideas but does not connect them</x:v>
      </x:c>
      <x:c r="D5" s="37" t="str">
        <x:v>Mostly accurate causal connection</x:v>
      </x:c>
      <x:c r="E5" s="37" t="str">
        <x:v>Precise causal chain using correct scientific vocabulary</x:v>
      </x:c>
      <x:c r="F5" s="37" t="str">
        <x:v>Flag incorrect links separately from missing links.</x:v>
      </x:c>
    </x:row>
    <x:row r="6">
      <x:c r="A6" s="38" t="str">
        <x:v>Breadth</x:v>
      </x:c>
      <x:c r="B6" s="38" t="str">
        <x:v>0–2 targets</x:v>
      </x:c>
      <x:c r="C6" s="38" t="str">
        <x:v>3–5 targets</x:v>
      </x:c>
      <x:c r="D6" s="38" t="str">
        <x:v>6–8 targets</x:v>
      </x:c>
      <x:c r="E6" s="38" t="str">
        <x:v>9–10 targets</x:v>
      </x:c>
      <x:c r="F6" s="38" t="str">
        <x:v>Report “Connections made: x/10”.</x:v>
      </x:c>
    </x:row>
    <x:row r="7">
      <x:c r="A7" s="39" t="str">
        <x:v>Causal reasoning</x:v>
      </x:c>
      <x:c r="B7" s="39" t="str">
        <x:v>List of facts</x:v>
      </x:c>
      <x:c r="C7" s="39" t="str">
        <x:v>Occasional because/therefore link</x:v>
      </x:c>
      <x:c r="D7" s="39" t="str">
        <x:v>Several linked steps</x:v>
      </x:c>
      <x:c r="E7" s="39" t="str">
        <x:v>Coherent system explanation from start to outcome</x:v>
      </x:c>
      <x:c r="F7" s="39" t="str">
        <x:v>Reward direction of cause and effect.</x:v>
      </x:c>
    </x:row>
    <x:row r="8">
      <x:c r="A8" s="38" t="str">
        <x:v>Evidence and detail</x:v>
      </x:c>
      <x:c r="B8" s="38" t="str">
        <x:v>No scientific detail</x:v>
      </x:c>
      <x:c r="C8" s="38" t="str">
        <x:v>General detail</x:v>
      </x:c>
      <x:c r="D8" s="38" t="str">
        <x:v>Relevant processes/structures</x:v>
      </x:c>
      <x:c r="E8" s="38" t="str">
        <x:v>Precise mechanisms, conditions and examples</x:v>
      </x:c>
      <x:c r="F8" s="38" t="str">
        <x:v>Show the exact missing detail in feedback.</x:v>
      </x:c>
    </x:row>
    <x:row r="9">
      <x:c r="A9" s="40" t="str">
        <x:v>Misconceptions</x:v>
      </x:c>
      <x:c r="B9" s="40" t="str">
        <x:v>Major misconceptions</x:v>
      </x:c>
      <x:c r="C9" s="40" t="str">
        <x:v>One serious misconception</x:v>
      </x:c>
      <x:c r="D9" s="40" t="str">
        <x:v>Minor imprecision</x:v>
      </x:c>
      <x:c r="E9" s="40" t="str">
        <x:v>No material misconception</x:v>
      </x:c>
      <x:c r="F9" s="40" t="str">
        <x:v>Never count a scientifically false link as a connection.</x:v>
      </x:c>
    </x:row>
    <x:row r="12">
      <x:c r="A12" s="26" t="str">
        <x:v>Suggested dashboard metric: Connections Mastered = secure target connections ÷ available target connections. Require success on at least two separate attempts before marking a connection secure.</x:v>
      </x:c>
    </x:row>
  </x:sheetData>
  <x:mergeCells>
    <x:mergeCell ref="A1:H1"/>
    <x:mergeCell ref="A2:H2"/>
    <x:mergeCell ref="A12:H1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2" hidden="0" customWidth="1"/>
    <x:col min="4" max="4" width="48" hidden="0" customWidth="1"/>
    <x:col min="5" max="5" width="52" hidden="0" customWidth="1"/>
    <x:col min="6" max="6" width="42" hidden="0" customWidth="1"/>
  </x:cols>
  <x:sheetData>
    <x:row r="1" ht="34" customHeight="1">
      <x:c r="A1" s="52" t="str">
        <x:v>App Import Guide</x:v>
      </x:c>
      <x:c r="B1" s="54"/>
      <x:c r="C1" s="54"/>
      <x:c r="D1" s="54"/>
      <x:c r="E1" s="54"/>
      <x:c r="F1" s="54"/>
    </x:row>
    <x:row r="2" ht="32" customHeight="1">
      <x:c r="A2" s="55" t="str">
        <x:v>Recommended relational structure for importing the workbook into ScienceMastery.</x:v>
      </x:c>
      <x:c r="B2" s="57"/>
      <x:c r="C2" s="57"/>
      <x:c r="D2" s="57"/>
      <x:c r="E2" s="57"/>
      <x:c r="F2" s="57"/>
    </x:row>
    <x:row r="4" ht="32" customHeight="1">
      <x:c r="A4" s="30" t="str">
        <x:v>Worksheet</x:v>
      </x:c>
      <x:c r="B4" s="30" t="str">
        <x:v>Primary key</x:v>
      </x:c>
      <x:c r="C4" s="30" t="str">
        <x:v>Parent key</x:v>
      </x:c>
      <x:c r="D4" s="30" t="str">
        <x:v>Purpose</x:v>
      </x:c>
      <x:c r="E4" s="30" t="str">
        <x:v>Import rule</x:v>
      </x:c>
      <x:c r="F4" s="30" t="str">
        <x:v>Do not expose initially</x:v>
      </x:c>
    </x:row>
    <x:row r="5">
      <x:c r="A5" s="37" t="str">
        <x:v>Challenges</x:v>
      </x:c>
      <x:c r="B5" s="37" t="str">
        <x:v>Challenge ID</x:v>
      </x:c>
      <x:c r="C5" s="37" t="str">
        <x:v>—</x:v>
      </x:c>
      <x:c r="D5" s="37" t="str">
        <x:v>One topic-level flagship scenario and final synthesis</x:v>
      </x:c>
      <x:c r="E5" s="37" t="str">
        <x:v>Import one record per row. Preserve multiline text.</x:v>
      </x:c>
      <x:c r="F5" s="37" t="str">
        <x:v>Final Model Answer; Concepts Covered</x:v>
      </x:c>
    </x:row>
    <x:row r="6">
      <x:c r="A6" s="38" t="str">
        <x:v>Scaffold Stages</x:v>
      </x:c>
      <x:c r="B6" s="38" t="str">
        <x:v>Stage ID</x:v>
      </x:c>
      <x:c r="C6" s="38" t="str">
        <x:v>Challenge ID</x:v>
      </x:c>
      <x:c r="D6" s="38" t="str">
        <x:v>Sequential guided questions, hints and responses</x:v>
      </x:c>
      <x:c r="E6" s="38" t="str">
        <x:v>Order by Stage, not worksheet row.</x:v>
      </x:c>
      <x:c r="F6" s="38" t="str">
        <x:v>Model Response; Hint 2 until requested</x:v>
      </x:c>
    </x:row>
    <x:row r="7">
      <x:c r="A7" s="39" t="str">
        <x:v>Connection Map</x:v>
      </x:c>
      <x:c r="B7" s="39" t="str">
        <x:v>Connection ID</x:v>
      </x:c>
      <x:c r="C7" s="39" t="str">
        <x:v>Challenge ID</x:v>
      </x:c>
      <x:c r="D7" s="39" t="str">
        <x:v>Score and display individual scientific links</x:v>
      </x:c>
      <x:c r="E7" s="39" t="str">
        <x:v>Store student score separately from verified content.</x:v>
      </x:c>
      <x:c r="F7" s="39" t="str">
        <x:v>Evidence Required; all target links before final submission</x:v>
      </x:c>
    </x:row>
    <x:row r="8">
      <x:c r="A8" s="38" t="str">
        <x:v>Scoring Rubric</x:v>
      </x:c>
      <x:c r="B8" s="38" t="str">
        <x:v>Dimension</x:v>
      </x:c>
      <x:c r="C8" s="38" t="str">
        <x:v>—</x:v>
      </x:c>
      <x:c r="D8" s="38" t="str">
        <x:v>Quality descriptors for overall response</x:v>
      </x:c>
      <x:c r="E8" s="38" t="str">
        <x:v>Use alongside connection score.</x:v>
      </x:c>
      <x:c r="F8" s="38" t="str">
        <x:v>Higher descriptors before submission</x:v>
      </x:c>
    </x:row>
    <x:row r="9">
      <x:c r="A9" s="39" t="str">
        <x:v>Read Me</x:v>
      </x:c>
      <x:c r="B9" s="39" t="str">
        <x:v>—</x:v>
      </x:c>
      <x:c r="C9" s="39" t="str">
        <x:v>—</x:v>
      </x:c>
      <x:c r="D9" s="39" t="str">
        <x:v>Human implementation notes</x:v>
      </x:c>
      <x:c r="E9" s="39" t="str">
        <x:v>Do not import as student content.</x:v>
      </x:c>
      <x:c r="F9" s="39" t="str">
        <x:v>Entire sheet</x:v>
      </x:c>
    </x:row>
    <x:row r="10">
      <x:c r="A10" s="38"/>
      <x:c r="B10" s="38"/>
      <x:c r="C10" s="38"/>
      <x:c r="D10" s="38"/>
      <x:c r="E10" s="38"/>
      <x:c r="F10" s="38"/>
    </x:row>
    <x:row r="11">
      <x:c r="A11" s="39"/>
      <x:c r="B11" s="39"/>
      <x:c r="C11" s="39"/>
      <x:c r="D11" s="39"/>
      <x:c r="E11" s="39"/>
      <x:c r="F11" s="39"/>
    </x:row>
    <x:row r="12">
      <x:c r="A12" s="38" t="str">
        <x:v>Field behaviour</x:v>
      </x:c>
      <x:c r="B12" s="38" t="str">
        <x:v>Recommended value</x:v>
      </x:c>
      <x:c r="C12" s="38" t="str">
        <x:v>Reason</x:v>
      </x:c>
      <x:c r="D12" s="38" t="str">
        <x:v>Example</x:v>
      </x:c>
      <x:c r="E12" s="38" t="str">
        <x:v>Validation</x:v>
      </x:c>
      <x:c r="F12" s="38" t="str">
        <x:v>Future-ready</x:v>
      </x:c>
    </x:row>
    <x:row r="13">
      <x:c r="A13" s="39" t="str">
        <x:v>Stable IDs</x:v>
      </x:c>
      <x:c r="B13" s="39" t="str">
        <x:v>Never regenerate</x:v>
      </x:c>
      <x:c r="C13" s="39" t="str">
        <x:v>Preserves progress after content updates</x:v>
      </x:c>
      <x:c r="D13" s="39" t="str">
        <x:v>BIO-CM-01-S03</x:v>
      </x:c>
      <x:c r="E13" s="39" t="str">
        <x:v>Unique text</x:v>
      </x:c>
      <x:c r="F13" s="39" t="str">
        <x:v>Yes</x:v>
      </x:c>
    </x:row>
    <x:row r="14">
      <x:c r="A14" s="38" t="str">
        <x:v>Reveal sequence</x:v>
      </x:c>
      <x:c r="B14" s="38" t="str">
        <x:v>Sequential</x:v>
      </x:c>
      <x:c r="C14" s="38" t="str">
        <x:v>Builds the conceptual chain</x:v>
      </x:c>
      <x:c r="D14" s="38" t="str">
        <x:v>1 → 10 → final</x:v>
      </x:c>
      <x:c r="E14" s="38" t="str">
        <x:v>Integer 1–10</x:v>
      </x:c>
      <x:c r="F14" s="38" t="str">
        <x:v>Yes</x:v>
      </x:c>
    </x:row>
    <x:row r="15">
      <x:c r="A15" s="39" t="str">
        <x:v>Final prompt</x:v>
      </x:c>
      <x:c r="B15" s="39" t="str">
        <x:v>Unprompted</x:v>
      </x:c>
      <x:c r="C15" s="39" t="str">
        <x:v>Tests retrieval and synthesis</x:v>
      </x:c>
      <x:c r="D15" s="39" t="str">
        <x:v>No concept checklist shown</x:v>
      </x:c>
      <x:c r="E15" s="39" t="str">
        <x:v>Required text</x:v>
      </x:c>
      <x:c r="F15" s="39" t="str">
        <x:v>Yes</x:v>
      </x:c>
    </x:row>
    <x:row r="16">
      <x:c r="A16" s="38" t="str">
        <x:v>Connection score</x:v>
      </x:c>
      <x:c r="B16" s="38" t="str">
        <x:v>0 or 1 per link</x:v>
      </x:c>
      <x:c r="C16" s="38" t="str">
        <x:v>Supports exact diagnostic feedback</x:v>
      </x:c>
      <x:c r="D16" s="38" t="str">
        <x:v>7/10</x:v>
      </x:c>
      <x:c r="E16" s="38" t="str">
        <x:v>Whole number</x:v>
      </x:c>
      <x:c r="F16" s="38" t="str">
        <x:v>Yes</x:v>
      </x:c>
    </x:row>
    <x:row r="17">
      <x:c r="A17" s="39" t="str">
        <x:v>Mastery</x:v>
      </x:c>
      <x:c r="B17" s="39" t="str">
        <x:v>Repeated success</x:v>
      </x:c>
      <x:c r="C17" s="39" t="str">
        <x:v>Avoids one-attempt mastery</x:v>
      </x:c>
      <x:c r="D17" s="39" t="str">
        <x:v>2 successful attempts</x:v>
      </x:c>
      <x:c r="E17" s="39" t="str">
        <x:v>Student-data table</x:v>
      </x:c>
      <x:c r="F17" s="39" t="str">
        <x:v>Yes</x:v>
      </x:c>
    </x:row>
    <x:row r="18">
      <x:c r="A18" s="38" t="str">
        <x:v>Hints</x:v>
      </x:c>
      <x:c r="B18" s="38" t="str">
        <x:v>Two levels</x:v>
      </x:c>
      <x:c r="C18" s="38" t="str">
        <x:v>Scaffolds without immediately revealing</x:v>
      </x:c>
      <x:c r="D18" s="38" t="str">
        <x:v>direction → key idea</x:v>
      </x:c>
      <x:c r="E18" s="38" t="str">
        <x:v>Optional text</x:v>
      </x:c>
      <x:c r="F18" s="38" t="str">
        <x:v>Yes</x:v>
      </x:c>
    </x:row>
    <x:row r="19">
      <x:c r="A19" s="40" t="str">
        <x:v>Content version</x:v>
      </x:c>
      <x:c r="B19" s="40" t="str">
        <x:v>Challenge-level version</x:v>
      </x:c>
      <x:c r="C19" s="40" t="str">
        <x:v>Allows controlled updates</x:v>
      </x:c>
      <x:c r="D19" s="40" t="str">
        <x:v>1.0</x:v>
      </x:c>
      <x:c r="E19" s="40" t="str">
        <x:v>Semantic version text</x:v>
      </x:c>
      <x:c r="F19" s="40" t="str">
        <x:v>Yes</x:v>
      </x:c>
    </x:row>
  </x:sheetData>
  <x:mergeCells>
    <x:mergeCell ref="A1:F1"/>
    <x:mergeCell ref="A2:F2"/>
  </x:mergeCells>
  <x:pageMargins left="0.7" right="0.7" top="0.75" bottom="0.75" header="0.3" footer="0.3"/>
</x:worksheet>
</file>